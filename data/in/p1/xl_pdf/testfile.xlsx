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definedName hidden="1" localSheetId="1" name="_xlnm._FilterDatabase">Sheet2!$A$1:$Q$43</definedName>
    <definedName hidden="1" localSheetId="2" name="_xlnm._FilterDatabase">Sheet3!$A$1:$C$18</definedName>
  </definedNames>
  <calcPr/>
</workbook>
</file>

<file path=xl/sharedStrings.xml><?xml version="1.0" encoding="utf-8"?>
<sst xmlns="http://schemas.openxmlformats.org/spreadsheetml/2006/main" count="1151" uniqueCount="332">
  <si>
    <t>datapoint</t>
  </si>
  <si>
    <t>label</t>
  </si>
  <si>
    <t>extracted_value</t>
  </si>
  <si>
    <t>confidence</t>
  </si>
  <si>
    <t>expected_data_type</t>
  </si>
  <si>
    <t>source_reference</t>
  </si>
  <si>
    <t>document_source</t>
  </si>
  <si>
    <t>document_category</t>
  </si>
  <si>
    <t>risk_oracle_name</t>
  </si>
  <si>
    <t>risk_oracle_category</t>
  </si>
  <si>
    <t>dimensions</t>
  </si>
  <si>
    <t>notes</t>
  </si>
  <si>
    <t>pec_answer</t>
  </si>
  <si>
    <t>chunks_retrieved</t>
  </si>
  <si>
    <t>extracted_at</t>
  </si>
  <si>
    <t>Asking Annual Interest Rate</t>
  </si>
  <si>
    <t>asking_annual_interest_rate</t>
  </si>
  <si>
    <t>NOT_FOUND</t>
  </si>
  <si>
    <t>HIGH</t>
  </si>
  <si>
    <t>float</t>
  </si>
  <si>
    <t>N/A</t>
  </si>
  <si>
    <t>Project Finance Model</t>
  </si>
  <si>
    <t>02. Financials &amp; Commercial</t>
  </si>
  <si>
    <t>EPC &amp; LD Real Economic Risk</t>
  </si>
  <si>
    <t>Construction</t>
  </si>
  <si>
    <t>per project</t>
  </si>
  <si>
    <t>The provided document chunks are from audited consolidated financial statements (CHL 2021, CHL 2023, Asia Star Fund 2023) containing accounting policies and loan disclosures. None of the chunks are from a Project Finance Model, which would be the expected source for an 'Asking Annual Interest Rate' datapoint. While various interest rates are mentioned in the loan disclosures (e.g., 0.72%, 12%, 3.85%-4.45%, 15%, 3.99%-4.65%), these are existing loan facility rates rather than an 'asking' annualized interest rate from a project finance model.</t>
  </si>
  <si>
    <t>From Project Finance Model - ScenarioInputs, F583 Coupon (under Subordinated Debt) = 11.5%</t>
  </si>
  <si>
    <t>2026-02-13T17:08:18.237340+00:00</t>
  </si>
  <si>
    <t>Commercial Operation Date</t>
  </si>
  <si>
    <t>commercial_operation_date</t>
  </si>
  <si>
    <t>date</t>
  </si>
  <si>
    <t>All provided chunks from CHL 2021 and 2023 Audited Consolidated financial statements</t>
  </si>
  <si>
    <t>Long Delay &amp; EPC Risk</t>
  </si>
  <si>
    <t>The provided document chunks are from audited consolidated financial statements (accounting policy notes) for ChemOne Holdings Ltd, not from a Project Finance Model. None of the chunks contain any reference to a Commercial Operation Date or expected date of commencement of commercial operations.</t>
  </si>
  <si>
    <t>From Project Finance Model - Dashboard, G21 = 1/1/2030</t>
  </si>
  <si>
    <t>2026-02-13T17:08:22.820725+00:00</t>
  </si>
  <si>
    <t>Expected Construction Start Date</t>
  </si>
  <si>
    <t>expected_construction_start_date</t>
  </si>
  <si>
    <t>All provided document chunks from CHL 2021 and 2023 Audited Consolidated Financial Statements</t>
  </si>
  <si>
    <t>The provided document context consists entirely of audited consolidated financial statement notes (accounting policies, estimates, and judgements) for ChemOne Holdings. There is no Project Finance Model document in the provided context, and none of the chunks contain any information about an expected construction start date for any project.</t>
  </si>
  <si>
    <t>From Project Finance Model - Dashboard, G18 = 4/1/2026</t>
  </si>
  <si>
    <t>2026-02-13T17:08:29.140682+00:00</t>
  </si>
  <si>
    <t>Expected Construction Period</t>
  </si>
  <si>
    <t>expected_construction_period</t>
  </si>
  <si>
    <t>The provided document chunks are from audited consolidated financial statements (CHL 2021 and 2023), not from a Project Finance Model. No information regarding an expected construction period or construction timeline was found. The chunks discuss accounting policies, PP&amp;E schedules, and construction in progress balances, but do not specify an expected construction period duration or dates.</t>
  </si>
  <si>
    <t>From Project Finance Model - Dashboard, G19 = 45 months</t>
  </si>
  <si>
    <t>2026-02-13T17:08:49.486725+00:00</t>
  </si>
  <si>
    <t>EPCC Current Assets</t>
  </si>
  <si>
    <t>epcc_current_assets</t>
  </si>
  <si>
    <t>EPCC 3 years Audited financial statement</t>
  </si>
  <si>
    <t>07. Engineering, Procurement &amp; Construction</t>
  </si>
  <si>
    <t>EPC Credit Risk</t>
  </si>
  <si>
    <t>per year</t>
  </si>
  <si>
    <t>The document context contains financial statements for Chemone Holdings Ltd B.V.I. (CHL), not for EPCC. No EPCC audited financial statements or current assets data were found in any of the provided chunks. The datapoint requires EPCC's 3 years audited financial statement, which is not present in the retrieved context.</t>
  </si>
  <si>
    <t>CNCC 
47.11.6.1 2022.pdf - Current Asset -  not available
47.11.6.2 2024.pdf - Current Asset (2023) - pg9, 169,386,418,650.81 CNY
47.11.6.2 2023.pdf
- Current Asset (2023) - pg 6, 1,379,976,925.35
*values are different*
47.11.6.3 2024.pdf - Current Asset -  pg9 - 175,156,690,646.71 CNY</t>
  </si>
  <si>
    <t>2026-02-13T17:08:35.222620+00:00</t>
  </si>
  <si>
    <t>EPCC Current Liabilities</t>
  </si>
  <si>
    <t>epcc_current_liabilities</t>
  </si>
  <si>
    <t>The document context provided contains financial statements for Chemone Holdings Ltd B.V.I. (CHL) and its subsidiaries, not for the EPCC (Engineering, Procurement, Construction, and Commissioning contractor). No EPCC audited financial statements or current liabilities data were found in any of the provided chunks. The current liabilities figures found (e.g., $207,127,905 for 2021 and $166,951,975 for 2020) belong to CHL, not the EPCC.</t>
  </si>
  <si>
    <t>CNCC 
47.11.6.1 2022.pdf - Current Liabilities - not available 
47.11.6.2 2024.pdf - Current Liabilities (2023) - pg10, 143,546,048,214.48
47.11.6.2 2023.pdf
- Current Liabilities (2023) - pg 7, 1,080,653,591.04
*values are different*
47.11.6.3 2024.pdf - Current Liabilities - pg 10 155,584,303,557.49</t>
  </si>
  <si>
    <t>2026-02-13T17:08:21.369372+00:00</t>
  </si>
  <si>
    <t>EPCC Retained Earnings</t>
  </si>
  <si>
    <t>epcc_retained_earnings</t>
  </si>
  <si>
    <t>All provided document chunks reviewed</t>
  </si>
  <si>
    <t>The provided context contains documents from Chemone Holdings Ltd B.V.I. (CHL) audited consolidated financial statements and Asia Star Fund Ltd audit report, but no EPCC (Engineering, Procurement, Construction and Commissioning) 3 years audited financial statement is present. None of the retrieved chunks contain EPCC retained earnings data. The consolidated statements of comprehensive income for CHL are present but these are not EPCC financial statements.</t>
  </si>
  <si>
    <t xml:space="preserve">CNCC 
47.11.6.1 2022.pdf - Current Retained Earnings -  not available.
47.11.6.2 2023.pdf - Retained Earnings - pg7, 1,383,569,761.23 
47.11.6.3 2024.pdf - Retained Earnings -  pg 10, 62, </t>
  </si>
  <si>
    <t>2026-02-13T17:08:31.836036+00:00</t>
  </si>
  <si>
    <t>EPCC Total Assets</t>
  </si>
  <si>
    <t>epcc_total_assets</t>
  </si>
  <si>
    <t>The provided document chunks are from CHL (ChemOne Holdings Ltd) and Asia Star Fund Ltd audited financial statements, not from EPCC's audited financial statements. No EPCC total assets data is present in the retrieved context. The chunks contain accounting policies, PP&amp;E details, and other notes but no balance sheet total assets figures for any entity named EPCC.</t>
  </si>
  <si>
    <t>CNCC 
47.11.6.1 2022.pdf - Total Assets -  not available
47.11.6.2 2023.pdf - Total Assets - pg6, 1,383,569,761.23
47.11.6.3 2024.pdf - Total Assets -  pg 9, 233,421,377,309.40</t>
  </si>
  <si>
    <t>2026-02-13T17:08:41.255807+00:00</t>
  </si>
  <si>
    <t>Feedstock Baseline Price</t>
  </si>
  <si>
    <t>feedstock_baseline_price</t>
  </si>
  <si>
    <t>Feedstock Supply Agreements</t>
  </si>
  <si>
    <t>05. Feedstock</t>
  </si>
  <si>
    <t>Seasonal Availability Shortfall</t>
  </si>
  <si>
    <t>Feedstock</t>
  </si>
  <si>
    <t>per supplier per contract</t>
  </si>
  <si>
    <t>The provided document chunks consist of audited consolidated financial statements and accounting policy notes for Asia Star Fund Ltd and ChemOne Holdings Ltd. None of the chunks contain Feedstock Supply Agreements or any information regarding feedstock baseline prices per supplier per contract.</t>
  </si>
  <si>
    <t>Shell - No answer, equinor, no answer
equinor - no answer.</t>
  </si>
  <si>
    <t>2026-02-13T17:08:26.938467+00:00</t>
  </si>
  <si>
    <t>Feedstock Buyer Entity</t>
  </si>
  <si>
    <t>feedstock_buyer_entity</t>
  </si>
  <si>
    <t>Pandita Industries Limited</t>
  </si>
  <si>
    <t>MEDIUM</t>
  </si>
  <si>
    <t>string</t>
  </si>
  <si>
    <t>Copy of 47.4.1.1.1.2 02_MY Ling Group.pdf, Section: PANDITA INDUSTRIES LIMITED &gt; Longstanding Relationships with Wide Range of Blue Chip Suppliers</t>
  </si>
  <si>
    <t>Supplier Capacity</t>
  </si>
  <si>
    <t>per feedstock contract</t>
  </si>
  <si>
    <t>Pandita Industries Limited (part of MY Ling Group) is identified as the entity that procures raw materials (feedstock) from suppliers with 1-year secured contracts including volume commitments and benchmark-linked pricing. However, the provided documents are company profiles and financial statements rather than actual Feedstock Supply Agreements. No formal feedstock supply agreement documents were found in the context. The entity Chemone Holdings Ltd B.V.I. also appears in the financial statements but is not directly linked to feedstock purchasing contracts in the provided chunks.</t>
  </si>
  <si>
    <t>Pengerang Energy Complex Sdn Bhd, pg 1, 
File - 47.2.1.1.1 Commercial Term Sheet Shell - Feedstock.docx</t>
  </si>
  <si>
    <t>2026-02-13T17:08:14.140349+00:00</t>
  </si>
  <si>
    <t>Feedstock Buyer's Option Percentage</t>
  </si>
  <si>
    <t>feedstock_buyer's_option_percentage</t>
  </si>
  <si>
    <t>Price Fixed v Variable Share</t>
  </si>
  <si>
    <t>per feedstock contract
per feedstock</t>
  </si>
  <si>
    <t>The provided document context does not contain any Feedstock Supply Agreements or any information about buyer's option percentages for feedstock quantity adjustments. The chunks contain audited consolidated financial statements (accounting policies, lease policies, related party disclosures, inventory policies) and a general commentary on supplier relationships (Pandita Industries) that mentions volume commitments but does not specify any buyer's option percentage.</t>
  </si>
  <si>
    <t xml:space="preserve">File - 47.2.1.1.1 Commercial Term Sheet Shell - Feedstock.docx, pg 2
Answer: condensate +/- 10% 
naphtha +/- 10% 
equinor: </t>
  </si>
  <si>
    <t>2026-02-13T17:08:16.129742+00:00</t>
  </si>
  <si>
    <t>Feedstock Contract Expected Initial Delivery Date</t>
  </si>
  <si>
    <t>feedstock_contract_expected_initial_delivery_date</t>
  </si>
  <si>
    <t>All provided document chunks reviewed, including Feedstock Supply Agreement-related sources (CHL 2023/2021 Audited Consolidated, MY Ling Group/Pandita Industries)</t>
  </si>
  <si>
    <t>Take-or-pay Coverage Ratio</t>
  </si>
  <si>
    <t>per contract</t>
  </si>
  <si>
    <t>The provided document chunks contain accounting policies (leases, revenue recognition, PP&amp;E, employee benefits, deferred charges, estimates) and general supplier relationship commentary. No Feedstock Supply Agreements or specific contract delivery dates are present in the retrieved context.</t>
  </si>
  <si>
    <t>Shell - no answer.</t>
  </si>
  <si>
    <t>2026-02-13T17:08:43.914485+00:00</t>
  </si>
  <si>
    <t>Feedstock Contract Pricing Formula</t>
  </si>
  <si>
    <t>feedstock_contract_pricing_formula</t>
  </si>
  <si>
    <t>Shortfall</t>
  </si>
  <si>
    <t>per feedstock contract 
per feedstock</t>
  </si>
  <si>
    <t>The provided document chunks are from CHL 2023 and 2021 audited consolidated financial statements and Asia Star Fund Ltd audit report. None of these documents contain Feedstock Supply Agreements or any information about feedstock contract pricing formulas. The chunks cover accounting policies (PP&amp;E, leases, financial assets, employee benefits, borrowings, etc.) and are not relevant to feedstock supply contracts.</t>
  </si>
  <si>
    <t xml:space="preserve">File - 47.2.1.1.1 Commercial Term Sheet Shell - Feedstock.docx, pg 8
'Price Formula = A + B + C', where A = benchmark, B = Premium/discount
C = "others'
</t>
  </si>
  <si>
    <t>2026-02-13T17:08:13.313646+00:00</t>
  </si>
  <si>
    <t>Feedstock Contract Pricing Formula Components</t>
  </si>
  <si>
    <t>feedstock_contract_pricing_formula_components</t>
  </si>
  <si>
    <t>The provided document chunks are from CHL 2021 and 2023 audited consolidated financial statements, covering accounting policies (leases, borrowings, HTI, share capital, deferred charges, and estimation assumptions). None of the chunks contain Feedstock Supply Agreements or any information about feedstock contract pricing formula components, pricing inputs, or adjustment terms for feedstock contracts.</t>
  </si>
  <si>
    <t xml:space="preserve">File - 47.2.1.1.1 Commercial Term Sheet Shell - Feedstock.docx, pg 8
'Price Formula = A + B + C', where A = benchmark, B = Premium/discount
C = "others', and for this answer we want the details of A,B,C, which are (see pg 8 of contract for long details)
Equinor: 
47.2.2.1.1 Equinor - Feedstock Sale and Product Purchase Agreement (EXECUTE.pdf
document page 55. 
Answer: Feedstock market price: Secured Grade Quantities
P = (PM+AD)L, where P = price per barrel of feedstock in US$, 
PM = pricing marker
AD = applicable differential 
L = loss factor. </t>
  </si>
  <si>
    <t>2026-02-13T17:08:44.495089+00:00</t>
  </si>
  <si>
    <t>Feedstock Contract Term</t>
  </si>
  <si>
    <t>feedstock_contract_term</t>
  </si>
  <si>
    <t>int</t>
  </si>
  <si>
    <t>Copy of 47.4.1.1.1.2 02_MY Ling Group.pdf, Section: PANDITA INDUSTRIES LIMITED &gt; Longstanding Relationships with Wide Range of Blue Chip Suppliers &gt; Commentary</t>
  </si>
  <si>
    <t>Volume Contracted</t>
  </si>
  <si>
    <t>Supplier contracts are typically secured for a duration of 1 year, with volume commitments and pricing linked to industry benchmarks. This applies generally across the supplier base of Pandita Industries Limited (MY Ling Group). No individual per-supplier contract term differentiation was found; all contracts follow the same 1-year standard duration.</t>
  </si>
  <si>
    <t>47.2.1.1.1 Commercial Term Sheet Shell - Feedstock.docx, pg1
1. Shell - Condensate - 12 years
2. Shell - Naphtha - 12 Years
47.2.2.1.1 Equinor - Feedstock Sale and Product Purchase Agreement (EXECUTE.pdf, pg 25, 
10 years. for condensate and full range naphtha</t>
  </si>
  <si>
    <t>2026-02-13T17:08:47.104285+00:00</t>
  </si>
  <si>
    <t>Feedstock Contract Term End Year</t>
  </si>
  <si>
    <t>feedstock_contract_term_end_year</t>
  </si>
  <si>
    <t>Multiple documents reviewed including Copy of 47.4.1.1.1.2 02_MY Ling Group.pdf and Copy of 47.4.1.2.2 CHL 2021 Audited Consolidated.pdf</t>
  </si>
  <si>
    <t>No specific feedstock supply contract end dates were found. The MY Ling Group document (Chunk 9) mentions supplier contracts are 'typically secured for a duration of 1 year' but does not specify expiration dates. The CHL 2021 significant agreements (Chunk 7) contain various utility/service agreements (natural gas, water, nitrogen, land leases) with some end dates, but these are not feedstock supply agreements. No dedicated Feedstock Supply Agreements document was provided in the context.</t>
  </si>
  <si>
    <t>Shell - no answer</t>
  </si>
  <si>
    <t>2026-02-13T17:08:41.749872+00:00</t>
  </si>
  <si>
    <t>Feedstock Contract Term Extension</t>
  </si>
  <si>
    <t>feedstock_contract_term_extension</t>
  </si>
  <si>
    <t>The provided document chunks contain audited consolidated financial statements (CHL 2021 and 2023), accounting policies, and bank loan details. None of the chunks contain Feedstock Supply Agreements or any information about feedstock contract terms or extension periods. The expected source document type (Feedstock Supply Agreements) is not represented in the provided context.</t>
  </si>
  <si>
    <t>"47.2.1.1.1 Commercial Term Sheet Shell - Feedstock.docx, pg1
5 years
47.2.2.1.1 Equinor - Feedstock Sale and Product Purchase Agreement (EXECUTE.pdf, pg 27, 
term extension: 2 years</t>
  </si>
  <si>
    <t>2026-02-13T17:08:25.959781+00:00</t>
  </si>
  <si>
    <t>Feedstock Contracted Supply Quantity</t>
  </si>
  <si>
    <t>feedstock_contracted_supply_quantity</t>
  </si>
  <si>
    <t>All provided document chunks reviewed, including Copy of 47.4.1.1.1.2 02_MY Ling Group.pdf (Pandita Industries Limited commentary), CHL 2023 and 2021 Audited Consolidated financial statements, and Asia Star Fund Ltd Audit Report FY 2023</t>
  </si>
  <si>
    <t>1. annually, quarterly, monthly
2. per feedstock supplier
3. per feedstock type
4. per time period</t>
  </si>
  <si>
    <t>The document chunks do not contain any Feedstock Supply Agreements or specific contracted supply quantity volumes. Chunk 1 (Pandita Industries Limited) mentions that supplier contracts are 'secured for a duration of 1 year, with volume commitments and pricing linked to industry benchmarks' and that 'raw material requirements are secured in advance by annual supply commitments,' but no specific quantities are disclosed. The remaining chunks are financial statement accounting policy notes and do not contain feedstock supply agreement details.</t>
  </si>
  <si>
    <t xml:space="preserve">47.2.1.1.1 Commercial Term Sheet Shell - Feedstock.docx, pg2
1. Shell - Annual Contracted Quantity - Condensate - minimum of 30 million barrels
2. Shell - Annual Contracted Quantity - Naphtha - minimum of 170 KT
3. Shell - Quarterly - Quarterly Contract Quantity (QCQ):
 Minimum: 95 percent of 25 percent of ACQ - for naphtha &amp; condensate
4. Shell - Quarterly -         Maximum: 105 percent of 25 percent of ACQ -for naphtha &amp; condensate
47.2.2.1.1 Equinor - Feedstock Sale and Product Purchase Agreement (EXECUTE.pdf, pg 30, pg 31
5. Equinor - Condensate 75,000 barrels per day multiplied by the number of days relevant in the contract month
6. Equinor - 935 MT per day multiplied by the number of valid days in the contract month- Full Range Naphtha - 
</t>
  </si>
  <si>
    <t>2026-02-13T17:08:36.178097+00:00</t>
  </si>
  <si>
    <t>Feedstock Contracted Supply Quantity Units</t>
  </si>
  <si>
    <t>feedstock_contracted_supply_quantity_units</t>
  </si>
  <si>
    <t>1. per feedstock supplier
2. per feedstock type</t>
  </si>
  <si>
    <t>The provided document chunks are from CHL audited consolidated financial statements (2021 and 2023) and a Pandita Industries/MY Ling Group supplier overview. None of these documents are Feedstock Supply Agreements, and no specific contracted supply quantity units (e.g., metric tons, barrels, etc.) per feedstock supplier or feedstock type are mentioned in any of the chunks. The Pandita Industries chunk mentions 'volume commitments' in supplier contracts but does not specify the units used.</t>
  </si>
  <si>
    <t>1. Shell - 47.2.1.1.1 Commercial Term Sheet Shell - Feedstock.docx - pg2 
condensate units: barrels
naphtha - KT
2. Equinor - 47.2.2.1.1 Equinor - Feedstock Sale and Product Purchase Agreement (EXECUTE.pdf- pg 30 -
Condensate - barrel
Naphtha - MT 
- this is all overa the agreement</t>
  </si>
  <si>
    <t>2026-02-13T17:08:52.834401+00:00</t>
  </si>
  <si>
    <t>Feedstock Delivery Channel</t>
  </si>
  <si>
    <t>feedstock_delivery_channel</t>
  </si>
  <si>
    <t>All provided document chunks reviewed, including Copy of 47.4.1.1.1.2 02_MY Ling Group.pdf and Copy of 47.4.1.2.4 CHL 2023 Audited Consolidated.pdf</t>
  </si>
  <si>
    <t>Transportation Capacity</t>
  </si>
  <si>
    <t>1. per feedstock type
2. per feedstock contract</t>
  </si>
  <si>
    <t>The provided document chunks do not contain any Feedstock Supply Agreements or information specifying a physical/logistical delivery channel (e.g., pipeline, truck, rail, vessel) for feedstock transportation. The documents cover supplier relationship commentary, accounting policies, revenue recognition, and lease policies, but none describe feedstock delivery channels or routes.</t>
  </si>
  <si>
    <t>Shell - 47.2.1.1.1 Commercial Term Sheet Shell - Feedstock.docx - pg2 
Ans: FIP (Free into pipeline) OR DAP (delivery at place) by vessel
Equinor - not found in contract</t>
  </si>
  <si>
    <t>2026-02-13T17:08:18.726570+00:00</t>
  </si>
  <si>
    <t>Feedstock Quality Specification</t>
  </si>
  <si>
    <t>feedstock_quality_specification</t>
  </si>
  <si>
    <t>array</t>
  </si>
  <si>
    <t>All provided document chunks reviewed (Copy of 47.4.1.1.1.2 02_MY Ling Group.pdf, Copy of 47.4.1.2.2 CHL 2021 Audited Consolidated.pdf, Copy of 47.4.1.2.4 CHL 2023 Audited Consolidated.pdf)</t>
  </si>
  <si>
    <t>Per feedstock type</t>
  </si>
  <si>
    <t>The provided document chunks contain supplier relationship commentary, accounting policies, and financial statement notes. None of the chunks contain feedstock quality specifications (e.g., moisture level, density, impurity limits, etc.) from a Feedstock Supply Agreement. The documents do not appear to be Feedstock Supply Agreements at all — they are audited consolidated financial statements and a corporate overview/credit analysis document.</t>
  </si>
  <si>
    <t>Engineering Documents - 47.2.2.2.1 Equinor - Feedstock Sale and Product Purchase Agreemen.pdf
pg 47, feeds table from 3.0 determines the quality required</t>
  </si>
  <si>
    <t>2026-02-13T17:08:39.287689+00:00</t>
  </si>
  <si>
    <t>Maximum Delay Liquidated Damages (% of contract price)</t>
  </si>
  <si>
    <t>maximum_delay_liquidated_damages_(%_of_contract_price)</t>
  </si>
  <si>
    <t>All provided chunks are from CHL 2021 and 2023 Audited Consolidated Financial Statements, not from an EPCC Contract</t>
  </si>
  <si>
    <t>EPCC Contract</t>
  </si>
  <si>
    <t>The provided document context consists entirely of accounting policy disclosures from ChemOne Holdings Ltd's audited consolidated financial statements. None of the chunks contain EPCC Contract terms, liquidated damages provisions, or any reference to delay liquidated damages caps. The expected source document (EPCC Contract) was not included in the retrieved context.</t>
  </si>
  <si>
    <t>EPCC Contract, 47.3.1.1.1.1 EPCC Contract - CNCEC+PEC.docx, pg97 of document, 
Ans: for IA Delay Liquidated Damages, shall be ten percent (10%) of the Contract Price; and</t>
  </si>
  <si>
    <t>2026-02-13T17:08:23.235533+00:00</t>
  </si>
  <si>
    <t>Maximum Performance Liqudated Damages (% of contract price)</t>
  </si>
  <si>
    <t>maximum_performance_liqudated_damages_(%_of_contract_price)</t>
  </si>
  <si>
    <t>EPC Contract Delivery Risk</t>
  </si>
  <si>
    <t>The provided document chunks are from CHL 2021 and 2023 audited consolidated financial statements, covering accounting policies (PP&amp;E, leases, employee benefits, revenue recognition, etc.). None of the chunks contain EPCC Contract terms, performance guarantees, or liquidated damages provisions. The requested datapoint regarding Maximum Performance Liquidated Damages as a percentage of contract price is not present in any of the retrieved context.</t>
  </si>
  <si>
    <t>EPCC Contract, 47.3.1.1.1.1 EPCC Contract - CNCEC+PEC.docx, pg97 of document, 
(ii)	for Performance Liquidated Damages, shall be ten percent (10%) of the Contract Price; and</t>
  </si>
  <si>
    <t>2026-02-13T17:08:40.120778+00:00</t>
  </si>
  <si>
    <t>Maximum Total Liquidated Damanges (% of contract price)</t>
  </si>
  <si>
    <t>maximum_total_liquidated_damanges_(%_of_contract_price)</t>
  </si>
  <si>
    <t>None of the provided document chunks contain EPCC Contract information</t>
  </si>
  <si>
    <t>The provided document chunks are from CHL 2023 and CHL 2021 audited consolidated financial statements, which contain accounting policies and financial notes. None of the chunks contain EPCC (Engineering, Procurement, Construction, and Commissioning) contract terms, liquidated damages provisions, or any related contractual cap information.</t>
  </si>
  <si>
    <t>"EPCC Contract, 47.3.1.1.1.1 EPCC Contract - CNCEC+PEC.docx, pg97 of document, 
(ii)        for Performance Liquidated Damages, shall be ten percent (10%) of the Contract Price; and"</t>
  </si>
  <si>
    <t>2026-02-13T17:08:46.065580+00:00</t>
  </si>
  <si>
    <t>Offtake Contract Term</t>
  </si>
  <si>
    <t>offtake_contract_term</t>
  </si>
  <si>
    <t>Binding Term Sheet / Sales &amp; Purchase Agreement / Offtake Agreement</t>
  </si>
  <si>
    <t>09. Offtake</t>
  </si>
  <si>
    <t>Offtake Coverage Ratio (General)</t>
  </si>
  <si>
    <t>Offtake</t>
  </si>
  <si>
    <t>per offtake contract</t>
  </si>
  <si>
    <t>The provided document chunks are from CHL 2021 and 2023 audited consolidated financial statements, covering accounting policies (leases, PP&amp;E, revenue recognition, deferred charges, impairment, consolidation). None of the chunks contain information about offtake contracts, binding term sheets, sales &amp; purchase agreements, or offtake agreement terms.</t>
  </si>
  <si>
    <t>47.2.1.2.1 Commercial Term Sheet Shell _ Offtake.docx,
pg 1, 
ans: 12 years
47.2.2.2.1 Equinor - Feedstock Sale and Product Purchase Agreemen.pdf
pg 25
(10th) anniversary of the COD</t>
  </si>
  <si>
    <t>2026-02-13T17:08:30.535046+00:00</t>
  </si>
  <si>
    <t>Offtake Contract Term Extension</t>
  </si>
  <si>
    <t>offtake_contract_term_extension</t>
  </si>
  <si>
    <t>The provided document chunks are from audited consolidated financial statements (accounting policies, estimates, and judgements) for ChemOne Holdings Ltd. They do not contain any information about offtake contracts, sales &amp; purchase agreements, or binding term sheets, and therefore no offtake contract term extension mechanisms are present in this context.</t>
  </si>
  <si>
    <t>47.2.1.2.1 Commercial Term Sheet Shell _ Offtake.docx,
pg 1, 
ans:  Option to extend the Term by an additional 5 years, if mutually agreed.
47.2.2.2.1 Equinor - Feedstock Sale and Product Purchase Agreemen.pdf
pg 27
ans: Equinor shall, in its sole discretion, have the option to extend the Term so that the
Agreement expires at 24:00 hours on the day that is the twelfth (12th) anniversary of
the COD (the “Extended Expiry Date”) by giving PEC written notice of such
extension no later than the sixth (6th) anniversary of the Commercial Operations Date.</t>
  </si>
  <si>
    <t>2026-02-13T17:08:26.436969+00:00</t>
  </si>
  <si>
    <t>Offtake Product Contract Volume</t>
  </si>
  <si>
    <t>offtake_product_contract_volume</t>
  </si>
  <si>
    <t>Copy of 47.4.1.2.4 CHL 2023 Audited Consolidated.pdf, Section: NOTES TO THE FINANCIAL STATEMENTS &gt; 23. SIGNIFICANT AGREEMENTS AND COMMITMENTS, item j</t>
  </si>
  <si>
    <t>Price Structure/Exposure-indexed</t>
  </si>
  <si>
    <t>per offtake contract
per offtake product</t>
  </si>
  <si>
    <t>The only offtake/sale-and-purchase agreement with a committed volume found in the provided context is the Propylene Sale and Purchase Agreement between PON and PT KPI: 6,600 Metric Ton per month or 79,000 Metric Ton per year. This is from the significant agreements note rather than a standalone Binding Term Sheet or Offtake Agreement document. No other offtake contract volumes were found in the provided chunks. Unit: Metric Tons per year.</t>
  </si>
  <si>
    <t>47.2.1.2.1 Commercial Term Sheet Shell _ Offtake.docx 
pg 2
Seller to supply and Buyer to purchase and offtake the following products on a mandatory basis: 
•        Gasoil 10ppm: Baseline Annual Contract Quantity (“ACQ”) of a minimum of 1,440 KT during each Con-tract Year ±10% at Seller’s option; 
•        Jet A-1: ACQ of a minimum of 725 KT during each Contract Year ±10% at Seller’s option; 
•        Very Low Sulphur Fuel Oil: ACQ of a minimum of 420 KT during each Contract Year ±10% at Seller’s option; 
•        Light Naphtha: ACQ of a minimum of 450 KT of the total production during each Contract Year ±10% at Seller’s option;
•        Benzene: ACQ of a minimum of 315 KT of the total production during each Contract Year ±10% at Sell-er’s option; 
47.2.2.2.1 Equinor - Feedstock Sale and Product Purchase Agreemen.pdf
pg 32, 
It is contemplated by the Parties that in the normal course the Facility will produce
(nominally) 52,000 (+/- 20%) Barrels per day of Product across all the Products,
comprising the following:
(i) LVN: 26,000 (+/-20%) bbld;
(ii) Jet: 16,000 (+/-20%) bbld;
(iii) Combined C3 and C4: 10,000 (+/-20%) bbld with C3 approximately 1,500bbld
and C4 approximately 8,500bbld,
(the “Product Daily Contract Quantity” / “PDCQ”, for each Product and in
aggregate across all Products, as applicable, subject to adjustments in accordance with
this Clause 4.6(b)).</t>
  </si>
  <si>
    <t>2026-02-13T17:08:20.937740+00:00</t>
  </si>
  <si>
    <t>Offtake Contract Volume Units</t>
  </si>
  <si>
    <t>offtake_contract_volume_units</t>
  </si>
  <si>
    <t>All provided chunks from CHL 2023 and 2021 Audited Consolidated financial statements</t>
  </si>
  <si>
    <t>per contract per year</t>
  </si>
  <si>
    <t>The provided document chunks are from audited consolidated financial statements (accounting policies and PP&amp;E notes) and do not contain any information related to offtake contracts, sales &amp; purchase agreements, or binding term sheets. No contracted volume data (per contract per year) is present in the context provided.</t>
  </si>
  <si>
    <t>2026-02-13T17:08:14.710356+00:00</t>
  </si>
  <si>
    <t>Offtake Delivery Channel</t>
  </si>
  <si>
    <t>offtake_delivery_channel</t>
  </si>
  <si>
    <t>Searched across all provided document chunks from CHL 2023 and 2021 Audited Consolidated Financial Statements</t>
  </si>
  <si>
    <t>1. per offtake contract</t>
  </si>
  <si>
    <t>The provided document chunks contain accounting policies (revenue recognition, leases, PP&amp;E, consolidation, related parties, trade payables, share capital) from audited financial statements. None of the chunks contain information from a Binding Term Sheet, Sales &amp; Purchase Agreement, or Offtake Agreement, and no offtake delivery channel information is present in the provided context.</t>
  </si>
  <si>
    <t>"47.2.1.2.1 Commercial Term Sheet Shell _ Offtake.docx 
pg 3,
Each product cargo will be supplied to the Buyer as per below parcel size and grades:
FIP channel (risk and title to pass at Product Storage Facilities battery limit)
•        Gasoil 10ppm:
o         6,000 to 40,000 MT ± 5% at Buyer’s option 
•        Jet A-1:
o         6,000 to 40,000 MT ± 5% at Buyer’s option 
•        Very Low Sulphur Fuel Oil:
o        12,000 to 40,000 MT ±5% at Buyer’s option 
•        Light Naphtha:
o        6,000 to 50,000 MT ±5% at Buyer’s option 
•        Benzene:
o        6,000 to 9,000 MT ±5% at Buyer’s option
•        Any deviation to a parcel size shall be mutually agreed between the Parties
FOB channel (risk and title to pass at vessel’s flange at loading port)
•        Gasoil 10ppm:
o         6,000 to 40,000 MT ± 5% at Buyer’s option 
•        Jet A-1:
o         6,000 to 40,000 MT ± 5% at Buyer’s option 
•        Very Low Sulphur Fuel Oil:
o        12,000 to 40,000 MT ±5% at Buyer’s option 
•        Light Naphtha:
o        25,000 to 50,000 MT ±5% at Buyer’s option 
•        Benzene:
o         6,000 to 9,000 MT ±5% at Buyer’s option 
Buyer will have the right to co-load any grade that the Buyer deems appropriate and subject to mutual agreement (as further set out in the Operational Document (as defined below)).  
Equinor -  not defined</t>
  </si>
  <si>
    <t>2026-02-13T17:08:10.012728+00:00</t>
  </si>
  <si>
    <t>Offtaker Book Value of Equity</t>
  </si>
  <si>
    <t>offtaker_book_value_of_equity</t>
  </si>
  <si>
    <t>Reviewed all provided chunks from CHL 2021, CHL 2023 audited consolidated financial statements, and Asia Star Fund Ltd Audit Report FY 2023</t>
  </si>
  <si>
    <t>Offtaker 3 years audited financial statement</t>
  </si>
  <si>
    <t>Credit Quality Risk</t>
  </si>
  <si>
    <t>Offtaker</t>
  </si>
  <si>
    <t>per offtaker</t>
  </si>
  <si>
    <t>The provided document chunks contain only accounting policies, estimation assumptions, income statements, and auditor reports. No balance sheet or statement of financial position data is included, which is where the book value of equity (total equity / shareholders' equity) would be found. The offtaker's book value of equity cannot be extracted from the available context.</t>
  </si>
  <si>
    <t xml:space="preserve">Shell; 47.11.1.1 Shell Eastern Trading Audited Financials FY 2022.pdf; pg 9, value for 2022 = 6,776,402,000
Shell; 47.11.1.1 Shell Eastern Trading Audited Financials FY 2023.pdf; pg 9, value for 2023=4,407,259,000
Shell; 47.11.1.1 Shell Eastern Trading Audited Financials FY 2024.pdf; pg 9, value for 2024 = 3,667,414,000
PTT, 47.11.4.1 PTT Audited Financials FY 2022.pdf, pg 8, Company Share capital and reserve 2022 - 232,359,283
PTT, 47.11.4.1 PTT Audited Financials FY 2023.pdf, pg 14, Company Share capital and reserves 2023 - 317,431,507
PTT, 47.11.4.1 PTT Audited Financials FY 2024.pdf, pg 9, Company Retained Earnings 2024 - 367,175,000
</t>
  </si>
  <si>
    <t>2026-02-13T17:08:48.938935+00:00</t>
  </si>
  <si>
    <t>Offtaker Current Assets</t>
  </si>
  <si>
    <t>offtaker_current_assets</t>
  </si>
  <si>
    <t>All provided chunks from CHL 2021, CHL 2023 Audited Consolidated, and Asia Star Fund Ltd Audit Report FY 2023</t>
  </si>
  <si>
    <t>The provided document chunks contain only accounting policy disclosures, estimation assumptions, and notes to financial statements. None of the chunks include a balance sheet or statement of financial position showing current assets figures. The actual current assets line item for the offtaker (ChemOne Holdings or Asia Star Fund Ltd) is not present in the retrieved context.</t>
  </si>
  <si>
    <t xml:space="preserve">"Shell; 47.11.1.1 Shell Eastern Trading Audited Financials FY 2022.pdf; pg 8, Current Asset value for 2022 = 21,319,920,000
Shell; 47.11.1.1 Shell Eastern Trading Audited Financials FY 2023.pdf; pg 8, Current Asset value for 2023=15,454,863,000
Shell; 47.11.1.1 Shell Eastern Trading Audited Financials FY 2024.pdf; pg 8, Current Asset value for 2024 = 15,509,378,000
PTT, 47.11.4.1 PTT Audited Financials FY 2022.pdf, pg 8, 2022 - Current Asset Company Level - 2,268,172,453
PTT, 47.11.4.1 PTT Audited Financials FY 2023.pdf, pg 14, Current Asset Company Level - 2,655,457,118
PTT, 47.11.4.1 PTT Audited Financials FY 2024.pdf, pg 9, Current Asset Company Level - 2,522,026,000
</t>
  </si>
  <si>
    <t>2026-02-13T17:08:28.613179+00:00</t>
  </si>
  <si>
    <t>Offtaker Current Liabilities</t>
  </si>
  <si>
    <t>offtaker_current_liabilities</t>
  </si>
  <si>
    <t>Copy of 47.4.1.2.2 CHL 2021 Audited Consolidated.pdf, Consolidated Statements of Financial Position, as at 31 December 2021</t>
  </si>
  <si>
    <t>Total Current Liabilities for CHL (ChemOne Holdings Ltd B.V.I.) as at 31 December 2021 were $207,127,905 USD. This is the most recent year shown in the 2021 balance sheet. The 2023 audited consolidated financial statements were also referenced in the context but the balance sheet for 2023 was not included in the provided chunks. If the offtaker's most recent current liabilities figure is needed from 2023, it was NOT_FOUND in the provided context. The 2021 figure includes trade and other payables ($172,448,129), taxes payable ($25,312,609), and loans and borrowings ($9,367,167).</t>
  </si>
  <si>
    <t>"Shell; 47.11.1.1 Shell Eastern Trading Audited Financials FY 2022.pdf; pg 8, value for 2022 = 14,539,170,000
Shell; 47.11.1.1 Shell Eastern Trading Audited Financials FY 2023.pdf; pg 8, value for 2023=11,284,630,000
Shell; 47.11.1.1 Shell Eastern Trading Audited Financials FY 2024.pdf; pg 8, value for 2024 = 12,078,104,000
PTT, 47.11.4.1 PTT Audited Financials FY 2022.pdf, pg 9, 2022 - Current Liabilities Company Level - 2,047,461,678
PTT, 47.11.4.1 PTT Audited Financials FY 2023.pdf, pg 16, Current Liabilities Company Level - 2,350,856,731
PTT, 47.11.4.1 PTT Audited Financials FY 2024.pdf, pg 10, Current Liabilities Company Level - 2,158,574,000
"</t>
  </si>
  <si>
    <t>2026-02-13T17:08:35.773468+00:00</t>
  </si>
  <si>
    <t>Offtaker Retained Earnings</t>
  </si>
  <si>
    <t>offtaker_retained_earnings</t>
  </si>
  <si>
    <t>The provided document chunks contain accounting policies, estimation assumptions, and the Statement of Operations for Asia Star Fund Ltd, but do not include any balance sheet or statement of financial position data showing retained earnings for any offtaker. The retained earnings line item would typically appear in the equity section of the balance sheet/statement of financial position or in a statement of changes in equity, neither of which was provided in the retrieved context.</t>
  </si>
  <si>
    <t xml:space="preserve">Shell; 47.11.1.1 Shell Eastern Trading Audited Financials FY 2022.pdf; pg 9, value for 2022 = 5,930,393,000
Shell; 47.11.1.1 Shell Eastern Trading Audited Financials FY 2023.pdf; pg 9, value for 2023=3,558,603,000
Shell; 47.11.1.1 Shell Eastern Trading Audited Financials FY 2024.pdf; pg 9, value for 2024 = 2,817,214,000
PTT, 47.11.4.1 PTT Audited Financials FY 2022.pdf, pg 10, Company Retained Earnings 2022 - 228,369,349
PTT, 47.11.4.1 PTT Audited Financials FY 2023.pdf, pg 14, Company Retained Earnings 2023 - 313,440,682
PTT, 47.11.4.1 PTT Audited Financials FY 2024.pdf, pg 12, Company Retained Earnings 2024 - 363,188,000
</t>
  </si>
  <si>
    <t>2026-02-13T17:08:11.068654+00:00</t>
  </si>
  <si>
    <t>Offtaker Total Assets</t>
  </si>
  <si>
    <t>offtaker_total_assets</t>
  </si>
  <si>
    <t>Copy of 47.4.1.2.4 CHL 2023 Audited Consolidated.pdf; Copy of 47.4.1.2.2 CHL 2021 Audited Consolidated.pdf; Copy of 47.11.2.1 Asia Star Fund Ltd Audit Report FY 2023.pdf</t>
  </si>
  <si>
    <t>The provided document chunks contain accounting policies, notes on PP&amp;E, estimation assumptions, and profit before taxation details for ChemOne Holdings (CHL) and Asia Star Fund Ltd, but do not include a balance sheet or statement of financial position showing total assets for any offtaker entity. The total assets figure was not found in any of the retrieved chunks.</t>
  </si>
  <si>
    <t>Shell; 47.11.1.1 Shell Eastern Trading Audited Financials FY 2022.pdf; pg 8, value for 2022 = 21,822,162,000
Shell; 47.11.1.1 Shell Eastern Trading Audited Financials FY 2023.pdf; pg 8, value for 2023 = 16,075,492,000
Shell; 47.11.1.1 Shell Eastern Trading Audited Financials FY 2024.pdf; pg 8, value for 2024 = 16,127,552,000
PTT; 47.11.4.3 PTT Audited Financials FY 2024.pdf; pg 12, total asset value at company level for 2024 = 2,522,026,000 + 4,429,000 = 2,526,455,000
PTT; 47.11.4.2 PTT Audited Financials FY 2023.pdf; pg 14,total asset value at company level for 2023 = 2,655,457,118 + 13,275,121 = 2,668,732,239
PTT; 47.11.4.1 PTT Audited Financials FY 2022.pdf; pg 10, total asset value for 2022 at company level = 2,268,172,453 + 12,873,065 = 2,281,045,518</t>
  </si>
  <si>
    <t>2026-02-13T17:08:51.676153+00:00</t>
  </si>
  <si>
    <t>Offtake Pricing Formula</t>
  </si>
  <si>
    <t>offtake_pricing_formula</t>
  </si>
  <si>
    <t>Take or pay contract strength</t>
  </si>
  <si>
    <t>1. per offtake contract
2. per offtake product</t>
  </si>
  <si>
    <t>The provided document chunks contain only accounting policies (leases, revenue recognition, employee benefits, PP&amp;E, consolidation, estimates) from ChemOne Holdings' audited consolidated financial statements. There is no offtake agreement, binding term sheet, or sales &amp; purchase agreement content present. No offtake pricing formula or related contractual pricing terms were found in any of the retrieved chunks.</t>
  </si>
  <si>
    <t>Shell, 47.2.1.2.1 Commercial Term Sheet Shell _ Offtake.docx 
pg 6
Ans: For each product cargo, the Price formula will be applicable for the respective month of loading at Load port (the Loading Month), which shall be the same as the Feedstock Delivery Month (as defined in Section 1), unless otherwise agreed by the Parties) as below.
•        Price formula = A + B + C 
o        All pricing is basis one-port load and subject to the final terms of the Supply and Offtake Agreement.
“A”: Pricing benchmark
•        Platts Gasoil 10ppm: MOPS Gasoil 10ppm
•        Jet A-1: MOPS Kero 
•        Very Low Sulphur Fuel Oil: Platts MOPS 0.5 LSFO (Platts code: AMFFA00)– Freight
•        Light Naphtha: Platts MOPJ Naphtha– TC4 (SG-Jpn)
•        Benzene: Platts FOBK Benzene 
Delivery / loading month average pricing to apply to the above.
“B”: Market Premium 
•        Platts Gasoil 10ppm: Published Platts Premium (Gasoil 10ppm)1
•        Jet A-1: Published Platts Premium (Kerosene)1
•        Very Low Sulphur Fuel Oil: Market Premium (Platts code FOFSB00)2
•        Light Naphtha: Platts CFR Naphtha Japan Premium (Platts code PAAAD00)3 
•        Benzene:  Fixed differential
“C”: Other costs 
•        All costs actually incurred by Buyer for Seller’s offtake of products to Buyer that is not already in-cluded in “A” and “B” above, which may include shifting, demurrage, insurance and storage  for that Loading Month
•        Pre-agreed working capital financing cost incurred by Buyer as a US$/bbl or US$/MT number to Market Premium
•        Hedging cost incurred by Buyer as requested by Seller as a US$/bbl or US$/MT number to Market PremiumMarket Structure Adjustment: A US$/bbl or US$/MT to adjust “B” to account for any dif-ference between pricing for Loading Month and Actual Product Delivery Date incurred by Buyer. In the event FIP or FOB delivery terms apply, market structure adjustment costs to be borne by Seller. “Actual Product Delivery Date”: the actual FIP delivery date or the actual FOB loading date (as may be applicable)  
Equinor, 47.2.2.2.1 Equinor - Feedstock Sale and Product Purchase Agreemen.pdf
pg 68
Product Market Price
(subject to any applicable Revised Pricing (Monthly Excess Product) or Revised Pricing (Off-
specification Product), the Product Market Price in US$/MT (or Barrels as applicable) for
Product delivered in a Contract Month shall be calculated by PEC in accordance with the
following formula:
P = PM + AD – MS
Where
P = Price per MT/Barrel of Product in US$
PM = Pricing Marker
AD = Applicable Differential
MS = Market Structure</t>
  </si>
  <si>
    <t>2026-02-13T17:08:44.918693+00:00</t>
  </si>
  <si>
    <t>Performance and Warranty Bond Percentage</t>
  </si>
  <si>
    <t>performance_and_warranty_bond_percentage</t>
  </si>
  <si>
    <t>The provided document chunks are from CHL 2021 and 2023 audited consolidated financial statements, which contain accounting policies (revenue recognition, PP&amp;E, leases, borrowings, employee benefits, trade payables, impairment). None of these chunks contain EPCC Contract terms or any mention of performance bonds, warranty bonds, bank guarantees, or surety bond percentages. The expected source document is an EPCC Contract, which was not provided in the context.</t>
  </si>
  <si>
    <t>EPCC Contract, 47.3.1.1.1.1 EPCC Contract - CNCEC+PEC.docx, pg42 of document, 
Prior to the Commencement Date, the Contractor shall furnish an unconditional, on-demand and irrevocable bank guarantee payable on first demand of the Owner, issued by an Acceptable Provider, in the form given in Exhibit VI [Form of Performance and Warranty Bond], in an amount equal to fifteen percent (15%) of the Contract Price, as security for the Contractor's proper performance of all its obligations under the Contract (the “Performance and Warranty Bond”). The Performance and Warranty Bond shall be governed by the laws of England and Wales. The amount of the Performance and Warranty Bond shall be reduced to an amount equal to seven point five percent (7.5%) of the Contract Price upon the issuance of the Initial Acceptance Certificate. The Performance and Warranty Bond (or any replacement thereof) shall be valid until the ninetieth (90th) day after the date of the Final Acceptance Certificate. The effectiveness of the Performance and Warranty Bond shall be conditional upon the receipt by the Contractor of the Advance Payment.</t>
  </si>
  <si>
    <t>2026-02-13T17:08:12.100170+00:00</t>
  </si>
  <si>
    <t>Project Capacity (main product)</t>
  </si>
  <si>
    <t>project_capacity_(main_product)</t>
  </si>
  <si>
    <t>None of the provided document chunks are from an Engineering Agreement (Tech Supplier)</t>
  </si>
  <si>
    <t>Engineering Agreement (Tech Supplier)</t>
  </si>
  <si>
    <t>06. Technology</t>
  </si>
  <si>
    <t>Reference Plant Capacity Ratio</t>
  </si>
  <si>
    <t>Technology</t>
  </si>
  <si>
    <t>The provided context consists of audited consolidated financial statements (CHL 2021, CHL 2023) and a company profile (MY Ling Group/Pandita Industries). None of these documents are an Engineering Agreement from a Technology Supplier, which is the expected source for project nameplate capacity information. While Chunk 6 mentions capacity figures for Pandita Industries (e.g., 502 k MTPA in 2019), this is from a company presentation, not an Engineering Agreement, and represents the group's total capacity rather than a specific project's designed nameplate capacity.</t>
  </si>
  <si>
    <t>47.3.2.1.1.1.1 01_PEC En.pdf
document page 36, Ans: 1683 KMTA of Paraxylene</t>
  </si>
  <si>
    <t>2026-02-13T17:08:21.369297+00:00</t>
  </si>
  <si>
    <t>Project Total Raise</t>
  </si>
  <si>
    <t>project_total_raise</t>
  </si>
  <si>
    <t>Pitch Deck</t>
  </si>
  <si>
    <t>Reference CAPEX Ratio</t>
  </si>
  <si>
    <t>The provided document chunks are all from CHL 2021 and 2023 Audited Consolidated Financial Statements, not from a Pitch Deck. None of the chunks contain information about a proposed project's total capital cost or total raise amount. The expected source document is a Pitch Deck, which was not included in the retrieved context.</t>
  </si>
  <si>
    <t>47.1.6 06_PEC Pitch_Jan 26_Sub Debt.pdf, pg 15, 
Ans: USD 5.4 bln</t>
  </si>
  <si>
    <t>2026-02-13T17:08:24.728928+00:00</t>
  </si>
  <si>
    <t>Project Total Capex</t>
  </si>
  <si>
    <t>project_total_capex</t>
  </si>
  <si>
    <t>All provided chunks from CHL 2023 and 2021 Audited Consolidated Financial Statements</t>
  </si>
  <si>
    <t>The provided document context consists of audited consolidated financial statements (accounting policies, PP&amp;E schedules, and estimation disclosures) for ChemOne Holdings. These are historical financial statements, not a Project Finance Model. No aggregate project-level total capex figure (i.e., the total capital expenditure required to develop and complete a specific project to commercial operation) was found. While PP&amp;E additions and construction in progress figures are present (e.g., $109.1M CIP additions in 2023, total PP&amp;E cost of ~$1.08B), these represent historical consolidated corporate capital expenditure across the group, not a forward-looking project total capex from a project finance model.</t>
  </si>
  <si>
    <t>From Project Finance Model - Dashboard, M31 = 3,765,250,000</t>
  </si>
  <si>
    <t>2026-02-13T17:08:33.010247+00:00</t>
  </si>
  <si>
    <t>Project Country</t>
  </si>
  <si>
    <t>project_country</t>
  </si>
  <si>
    <t>No Site Location Maps document found in provided context</t>
  </si>
  <si>
    <t>Site Location Maps</t>
  </si>
  <si>
    <t>03. Site, Land &amp; Access Rights</t>
  </si>
  <si>
    <t>Country Risk</t>
  </si>
  <si>
    <t>Overall</t>
  </si>
  <si>
    <t>The provided document chunks do not include any Site Location Maps. The chunks are from audit reports (Asia Star Fund Ltd, ChemOne Holdings Ltd), corporate registers (Apollo Asia Enterprises), and business strategy documents (MY Ling Group). While project countries such as Indonesia, Thailand, China, and Malaysia are mentioned across various documents, these references come from corporate information sections and agreements rather than from Site Location Maps. Without the expected source document, the specific datapoint cannot be reliably extracted per the defined requirements.</t>
  </si>
  <si>
    <t>47.1.6 06_PEC Pitch_Jan 26_Sub Debt.pdf 
pg3
Ans: Malaysia</t>
  </si>
  <si>
    <t>2026-02-13T17:08:38.552201+00:00</t>
  </si>
  <si>
    <t>Project Location</t>
  </si>
  <si>
    <t>project_location</t>
  </si>
  <si>
    <t>N/A - No Site Location Maps document was provided in the context</t>
  </si>
  <si>
    <t>The provided document chunks are from audited consolidated financial statements (CHL 2021, CHL 2023) and an Asia Star Fund audit report. They contain references to project site locations (e.g., Gresik, Indonesia; Labuan, Malaysia) but no GPS coordinates are provided. The expected source document 'Site Location Maps' was not included in the retrieved context.</t>
  </si>
  <si>
    <t>47.1.6 06_PEC Pitch_Jan 26_Sub Debt.pdf 
pg3
Ans:
Pengerang Integrated Petrochemical Complex (PIPC)</t>
  </si>
  <si>
    <t>2026-02-13T17:08:49.628836+00:00</t>
  </si>
  <si>
    <t>Total Fixed Cost</t>
  </si>
  <si>
    <t>total_fixed_cost</t>
  </si>
  <si>
    <t>None of the provided document chunks contain a Project Finance Model</t>
  </si>
  <si>
    <t>per year, month, and day</t>
  </si>
  <si>
    <t>The requested datapoint 'Total Fixed Cost' with dimensions per year, month, and day is expected from a Project Finance Model. The provided document chunks are from CHL 2021 and 2023 Audited Consolidated Financial Statements and Asia Star Fund Ltd Audit Report FY 2023, which contain accounting policies, PP&amp;E schedules, and estimation assumptions — none of which include a project finance model or total fixed cost figures broken down by year, month, and day.</t>
  </si>
  <si>
    <t>Apr 2026 - Dec 2029:
C_Cons Sheet,  F113 Total Capex = 3,765,250,000 
Jan 2030 onwards:
Project Finance Model, C_Ops Sheet, Row 773 Total Fixed Cost, ALL</t>
  </si>
  <si>
    <t>2026-02-13T17:08:54.756741+00:00</t>
  </si>
  <si>
    <t>match_status</t>
  </si>
  <si>
    <t>accuracy_score</t>
  </si>
  <si>
    <t>extraction_success</t>
  </si>
  <si>
    <t>type_valid</t>
  </si>
  <si>
    <t>comparison_explanation</t>
  </si>
  <si>
    <t>has_source_reference</t>
  </si>
  <si>
    <t>MISMATCH</t>
  </si>
  <si>
    <t>Extraction failed but reference answer exists</t>
  </si>
  <si>
    <t>EXACT_MATCH</t>
  </si>
  <si>
    <t>Both extraction and reference indicate no data available</t>
  </si>
  <si>
    <t>The extracted value 'Pandita Industries Limited' does not match the reference answer 'Pengerang Energy Complex Sdn Bhd'. These are completely different entities, and the extraction was sourced from the wrong document.</t>
  </si>
  <si>
    <t>The extracted value is 1 (year), but the reference indicates feedstock contract terms of 10-12 years depending on the supplier and product. The extracted value of 1 does not match any of the reference values (12 years for Shell, 10 years for Equinor). Additionally, the extraction source appears to be from a completely different document (Pandita Industries / MY Ling Group) rather than the relevant feedstock contract documents.</t>
  </si>
  <si>
    <t>The extracted value of 79,000 does not match any of the reference contract volumes. The reference provides two sets of offtake volumes: (1) Shell offtake with multiple products totaling approximately 3,350 KT per year (Gasoil 1,440 KT, Jet 725 KT, VLSFO 420 KT, Light Naphtha 450 KT, Benzene 315 KT), and (2) Equinor offtake of nominally 52,000 barrels per day across multiple products. The extracted value of 79,000 does not correspond to any of these figures and appears to come from an audited financial statement rather than the actual offtake agreements.</t>
  </si>
  <si>
    <t>The extracted value of 207,127,905 does not match any of the reference values. The reference lists Current Liabilities for Shell Eastern Trading (ranging from ~11.3B to ~14.5B) and PTT (ranging from ~2.0B to ~2.4B) across multiple years. The extracted value appears to come from a completely different document (CHL 2021 Audited Consolidated) and does not correspond to any of the expected offtaker current liabilities.</t>
  </si>
  <si>
    <t>cols in 1</t>
  </si>
  <si>
    <t>cols in 2</t>
  </si>
  <si>
    <t>in 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</si>
</sst>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heet1-style">
      <tableStyleElement dxfId="1" type="headerRow"/>
      <tableStyleElement dxfId="2" type="firstRowStripe"/>
      <tableStyleElement dxfId="3" type="secondRowStripe"/>
      <tableStyleElement dxfId="4" size="0" type="wholeTable"/>
    </tableStyle>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43" displayName="Table2" name="Table2" id="1">
  <tableColumns count="15">
    <tableColumn name="datapoint" id="1"/>
    <tableColumn name="label" id="2"/>
    <tableColumn name="extracted_value" id="3"/>
    <tableColumn name="confidence" id="4"/>
    <tableColumn name="expected_data_type" id="5"/>
    <tableColumn name="source_reference" id="6"/>
    <tableColumn name="document_source" id="7"/>
    <tableColumn name="document_category" id="8"/>
    <tableColumn name="risk_oracle_name" id="9"/>
    <tableColumn name="risk_oracle_category" id="10"/>
    <tableColumn name="dimensions" id="11"/>
    <tableColumn name="notes" id="12"/>
    <tableColumn name="pec_answer" id="13"/>
    <tableColumn name="chunks_retrieved" id="14"/>
    <tableColumn name="extracted_at" id="15"/>
  </tableColumns>
  <tableStyleInfo name="Sheet1-style" showColumnStripes="0" showFirstColumn="1" showLastColumn="1" showRowStripes="1"/>
</table>
</file>

<file path=xl/tables/table2.xml><?xml version="1.0" encoding="utf-8"?>
<table xmlns="http://schemas.openxmlformats.org/spreadsheetml/2006/main" ref="A1:Q43" displayName="Table1" name="Table1" id="2">
  <autoFilter ref="$A$1:$Q$43"/>
  <tableColumns count="17">
    <tableColumn name="datapoint" id="1"/>
    <tableColumn name="label" id="2"/>
    <tableColumn name="extracted_value" id="3"/>
    <tableColumn name="pec_answer" id="4"/>
    <tableColumn name="match_status" id="5"/>
    <tableColumn name="accuracy_score" id="6"/>
    <tableColumn name="confidence" id="7"/>
    <tableColumn name="extraction_success" id="8"/>
    <tableColumn name="type_valid" id="9"/>
    <tableColumn name="expected_data_type" id="10"/>
    <tableColumn name="comparison_explanation" id="11"/>
    <tableColumn name="document_source" id="12"/>
    <tableColumn name="document_category" id="13"/>
    <tableColumn name="risk_oracle_name" id="14"/>
    <tableColumn name="risk_oracle_category" id="15"/>
    <tableColumn name="has_source_reference" id="16"/>
    <tableColumn name="chunks_retrieved" id="17"/>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1.63"/>
    <col customWidth="1" min="4" max="4" width="16.88"/>
    <col customWidth="1" min="5" max="5" width="23.5"/>
    <col customWidth="1" min="6" max="6" width="37.63"/>
    <col customWidth="1" min="7" max="7" width="32.88"/>
    <col customWidth="1" min="8" max="8" width="35.38"/>
    <col customWidth="1" min="9" max="9" width="24.13"/>
    <col customWidth="1" min="10" max="10" width="24.0"/>
    <col customWidth="1" min="11" max="11" width="24.13"/>
    <col customWidth="1" min="12" max="13" width="37.63"/>
    <col customWidth="1" min="14" max="14" width="21.25"/>
    <col customWidth="1" min="15" max="15" width="29.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t="s">
        <v>15</v>
      </c>
      <c r="B2" s="2" t="s">
        <v>16</v>
      </c>
      <c r="C2" s="2" t="s">
        <v>17</v>
      </c>
      <c r="D2" s="3" t="s">
        <v>18</v>
      </c>
      <c r="E2" s="3" t="s">
        <v>19</v>
      </c>
      <c r="F2" s="2" t="s">
        <v>20</v>
      </c>
      <c r="G2" s="2" t="s">
        <v>21</v>
      </c>
      <c r="H2" s="2" t="s">
        <v>22</v>
      </c>
      <c r="I2" s="2" t="s">
        <v>23</v>
      </c>
      <c r="J2" s="3" t="s">
        <v>24</v>
      </c>
      <c r="K2" s="2" t="s">
        <v>25</v>
      </c>
      <c r="L2" s="2" t="s">
        <v>26</v>
      </c>
      <c r="M2" s="2" t="s">
        <v>27</v>
      </c>
      <c r="N2" s="4">
        <v>10.0</v>
      </c>
      <c r="O2" s="2" t="s">
        <v>28</v>
      </c>
    </row>
    <row r="3" ht="22.5" customHeight="1">
      <c r="A3" s="2" t="s">
        <v>29</v>
      </c>
      <c r="B3" s="2" t="s">
        <v>30</v>
      </c>
      <c r="C3" s="2" t="s">
        <v>17</v>
      </c>
      <c r="D3" s="3" t="s">
        <v>18</v>
      </c>
      <c r="E3" s="3" t="s">
        <v>31</v>
      </c>
      <c r="F3" s="2" t="s">
        <v>32</v>
      </c>
      <c r="G3" s="2" t="s">
        <v>21</v>
      </c>
      <c r="H3" s="2" t="s">
        <v>22</v>
      </c>
      <c r="I3" s="2" t="s">
        <v>33</v>
      </c>
      <c r="J3" s="3" t="s">
        <v>24</v>
      </c>
      <c r="K3" s="2" t="s">
        <v>25</v>
      </c>
      <c r="L3" s="2" t="s">
        <v>34</v>
      </c>
      <c r="M3" s="2" t="s">
        <v>35</v>
      </c>
      <c r="N3" s="4">
        <v>10.0</v>
      </c>
      <c r="O3" s="2" t="s">
        <v>36</v>
      </c>
    </row>
    <row r="4" ht="22.5" customHeight="1">
      <c r="A4" s="2" t="s">
        <v>37</v>
      </c>
      <c r="B4" s="2" t="s">
        <v>38</v>
      </c>
      <c r="C4" s="2" t="s">
        <v>17</v>
      </c>
      <c r="D4" s="3" t="s">
        <v>18</v>
      </c>
      <c r="E4" s="3" t="s">
        <v>31</v>
      </c>
      <c r="F4" s="2" t="s">
        <v>39</v>
      </c>
      <c r="G4" s="2" t="s">
        <v>21</v>
      </c>
      <c r="H4" s="2" t="s">
        <v>22</v>
      </c>
      <c r="I4" s="2" t="s">
        <v>33</v>
      </c>
      <c r="J4" s="3" t="s">
        <v>24</v>
      </c>
      <c r="K4" s="2" t="s">
        <v>25</v>
      </c>
      <c r="L4" s="2" t="s">
        <v>40</v>
      </c>
      <c r="M4" s="2" t="s">
        <v>41</v>
      </c>
      <c r="N4" s="4">
        <v>10.0</v>
      </c>
      <c r="O4" s="2" t="s">
        <v>42</v>
      </c>
    </row>
    <row r="5" ht="22.5" customHeight="1">
      <c r="A5" s="2" t="s">
        <v>43</v>
      </c>
      <c r="B5" s="2" t="s">
        <v>44</v>
      </c>
      <c r="C5" s="2" t="s">
        <v>17</v>
      </c>
      <c r="D5" s="3" t="s">
        <v>18</v>
      </c>
      <c r="E5" s="3" t="s">
        <v>31</v>
      </c>
      <c r="F5" s="2" t="s">
        <v>32</v>
      </c>
      <c r="G5" s="2" t="s">
        <v>21</v>
      </c>
      <c r="H5" s="2" t="s">
        <v>22</v>
      </c>
      <c r="I5" s="2" t="s">
        <v>33</v>
      </c>
      <c r="J5" s="3" t="s">
        <v>24</v>
      </c>
      <c r="K5" s="2" t="s">
        <v>25</v>
      </c>
      <c r="L5" s="2" t="s">
        <v>45</v>
      </c>
      <c r="M5" s="2" t="s">
        <v>46</v>
      </c>
      <c r="N5" s="4">
        <v>10.0</v>
      </c>
      <c r="O5" s="2" t="s">
        <v>47</v>
      </c>
    </row>
    <row r="6" ht="22.5" customHeight="1">
      <c r="A6" s="2" t="s">
        <v>48</v>
      </c>
      <c r="B6" s="2" t="s">
        <v>49</v>
      </c>
      <c r="C6" s="2" t="s">
        <v>17</v>
      </c>
      <c r="D6" s="3" t="s">
        <v>18</v>
      </c>
      <c r="E6" s="3" t="s">
        <v>19</v>
      </c>
      <c r="F6" s="2" t="s">
        <v>20</v>
      </c>
      <c r="G6" s="2" t="s">
        <v>50</v>
      </c>
      <c r="H6" s="2" t="s">
        <v>51</v>
      </c>
      <c r="I6" s="2" t="s">
        <v>52</v>
      </c>
      <c r="J6" s="3" t="s">
        <v>24</v>
      </c>
      <c r="K6" s="2" t="s">
        <v>53</v>
      </c>
      <c r="L6" s="2" t="s">
        <v>54</v>
      </c>
      <c r="M6" s="2" t="s">
        <v>55</v>
      </c>
      <c r="N6" s="4">
        <v>10.0</v>
      </c>
      <c r="O6" s="2" t="s">
        <v>56</v>
      </c>
    </row>
    <row r="7" ht="22.5" customHeight="1">
      <c r="A7" s="2" t="s">
        <v>57</v>
      </c>
      <c r="B7" s="2" t="s">
        <v>58</v>
      </c>
      <c r="C7" s="2" t="s">
        <v>17</v>
      </c>
      <c r="D7" s="3" t="s">
        <v>18</v>
      </c>
      <c r="E7" s="3" t="s">
        <v>19</v>
      </c>
      <c r="F7" s="2" t="s">
        <v>20</v>
      </c>
      <c r="G7" s="2" t="s">
        <v>50</v>
      </c>
      <c r="H7" s="2" t="s">
        <v>51</v>
      </c>
      <c r="I7" s="2" t="s">
        <v>52</v>
      </c>
      <c r="J7" s="3" t="s">
        <v>24</v>
      </c>
      <c r="K7" s="2" t="s">
        <v>53</v>
      </c>
      <c r="L7" s="2" t="s">
        <v>59</v>
      </c>
      <c r="M7" s="2" t="s">
        <v>60</v>
      </c>
      <c r="N7" s="4">
        <v>10.0</v>
      </c>
      <c r="O7" s="2" t="s">
        <v>61</v>
      </c>
    </row>
    <row r="8" ht="22.5" customHeight="1">
      <c r="A8" s="2" t="s">
        <v>62</v>
      </c>
      <c r="B8" s="2" t="s">
        <v>63</v>
      </c>
      <c r="C8" s="2" t="s">
        <v>17</v>
      </c>
      <c r="D8" s="3" t="s">
        <v>18</v>
      </c>
      <c r="E8" s="3" t="s">
        <v>19</v>
      </c>
      <c r="F8" s="2" t="s">
        <v>64</v>
      </c>
      <c r="G8" s="2" t="s">
        <v>50</v>
      </c>
      <c r="H8" s="2" t="s">
        <v>51</v>
      </c>
      <c r="I8" s="2" t="s">
        <v>52</v>
      </c>
      <c r="J8" s="3" t="s">
        <v>24</v>
      </c>
      <c r="K8" s="2" t="s">
        <v>53</v>
      </c>
      <c r="L8" s="2" t="s">
        <v>65</v>
      </c>
      <c r="M8" s="2" t="s">
        <v>66</v>
      </c>
      <c r="N8" s="4">
        <v>10.0</v>
      </c>
      <c r="O8" s="2" t="s">
        <v>67</v>
      </c>
    </row>
    <row r="9" ht="22.5" customHeight="1">
      <c r="A9" s="2" t="s">
        <v>68</v>
      </c>
      <c r="B9" s="2" t="s">
        <v>69</v>
      </c>
      <c r="C9" s="2" t="s">
        <v>17</v>
      </c>
      <c r="D9" s="3" t="s">
        <v>18</v>
      </c>
      <c r="E9" s="3" t="s">
        <v>19</v>
      </c>
      <c r="F9" s="2" t="s">
        <v>20</v>
      </c>
      <c r="G9" s="2" t="s">
        <v>50</v>
      </c>
      <c r="H9" s="2" t="s">
        <v>51</v>
      </c>
      <c r="I9" s="2" t="s">
        <v>52</v>
      </c>
      <c r="J9" s="3" t="s">
        <v>24</v>
      </c>
      <c r="K9" s="2" t="s">
        <v>53</v>
      </c>
      <c r="L9" s="2" t="s">
        <v>70</v>
      </c>
      <c r="M9" s="2" t="s">
        <v>71</v>
      </c>
      <c r="N9" s="4">
        <v>10.0</v>
      </c>
      <c r="O9" s="2" t="s">
        <v>72</v>
      </c>
    </row>
    <row r="10" ht="22.5" customHeight="1">
      <c r="A10" s="2" t="s">
        <v>73</v>
      </c>
      <c r="B10" s="2" t="s">
        <v>74</v>
      </c>
      <c r="C10" s="2" t="s">
        <v>17</v>
      </c>
      <c r="D10" s="3" t="s">
        <v>18</v>
      </c>
      <c r="E10" s="3" t="s">
        <v>19</v>
      </c>
      <c r="F10" s="2" t="s">
        <v>20</v>
      </c>
      <c r="G10" s="2" t="s">
        <v>75</v>
      </c>
      <c r="H10" s="2" t="s">
        <v>76</v>
      </c>
      <c r="I10" s="2" t="s">
        <v>77</v>
      </c>
      <c r="J10" s="3" t="s">
        <v>78</v>
      </c>
      <c r="K10" s="2" t="s">
        <v>79</v>
      </c>
      <c r="L10" s="2" t="s">
        <v>80</v>
      </c>
      <c r="M10" s="2" t="s">
        <v>81</v>
      </c>
      <c r="N10" s="4">
        <v>10.0</v>
      </c>
      <c r="O10" s="2" t="s">
        <v>82</v>
      </c>
    </row>
    <row r="11" ht="22.5" customHeight="1">
      <c r="A11" s="2" t="s">
        <v>83</v>
      </c>
      <c r="B11" s="2" t="s">
        <v>84</v>
      </c>
      <c r="C11" s="2" t="s">
        <v>85</v>
      </c>
      <c r="D11" s="3" t="s">
        <v>86</v>
      </c>
      <c r="E11" s="3" t="s">
        <v>87</v>
      </c>
      <c r="F11" s="2" t="s">
        <v>88</v>
      </c>
      <c r="G11" s="2" t="s">
        <v>75</v>
      </c>
      <c r="H11" s="2" t="s">
        <v>76</v>
      </c>
      <c r="I11" s="2" t="s">
        <v>89</v>
      </c>
      <c r="J11" s="3" t="s">
        <v>78</v>
      </c>
      <c r="K11" s="2" t="s">
        <v>90</v>
      </c>
      <c r="L11" s="2" t="s">
        <v>91</v>
      </c>
      <c r="M11" s="2" t="s">
        <v>92</v>
      </c>
      <c r="N11" s="4">
        <v>10.0</v>
      </c>
      <c r="O11" s="2" t="s">
        <v>93</v>
      </c>
    </row>
    <row r="12" ht="22.5" customHeight="1">
      <c r="A12" s="2" t="s">
        <v>94</v>
      </c>
      <c r="B12" s="2" t="s">
        <v>95</v>
      </c>
      <c r="C12" s="2" t="s">
        <v>17</v>
      </c>
      <c r="D12" s="3" t="s">
        <v>18</v>
      </c>
      <c r="E12" s="3" t="s">
        <v>87</v>
      </c>
      <c r="F12" s="2" t="s">
        <v>64</v>
      </c>
      <c r="G12" s="2" t="s">
        <v>75</v>
      </c>
      <c r="H12" s="2" t="s">
        <v>76</v>
      </c>
      <c r="I12" s="2" t="s">
        <v>96</v>
      </c>
      <c r="J12" s="3" t="s">
        <v>78</v>
      </c>
      <c r="K12" s="2" t="s">
        <v>97</v>
      </c>
      <c r="L12" s="2" t="s">
        <v>98</v>
      </c>
      <c r="M12" s="2" t="s">
        <v>99</v>
      </c>
      <c r="N12" s="4">
        <v>10.0</v>
      </c>
      <c r="O12" s="2" t="s">
        <v>100</v>
      </c>
    </row>
    <row r="13" ht="22.5" customHeight="1">
      <c r="A13" s="2" t="s">
        <v>101</v>
      </c>
      <c r="B13" s="2" t="s">
        <v>102</v>
      </c>
      <c r="C13" s="2" t="s">
        <v>17</v>
      </c>
      <c r="D13" s="3" t="s">
        <v>18</v>
      </c>
      <c r="E13" s="3" t="s">
        <v>31</v>
      </c>
      <c r="F13" s="2" t="s">
        <v>103</v>
      </c>
      <c r="G13" s="2" t="s">
        <v>75</v>
      </c>
      <c r="H13" s="2" t="s">
        <v>76</v>
      </c>
      <c r="I13" s="2" t="s">
        <v>104</v>
      </c>
      <c r="J13" s="3" t="s">
        <v>78</v>
      </c>
      <c r="K13" s="2" t="s">
        <v>105</v>
      </c>
      <c r="L13" s="2" t="s">
        <v>106</v>
      </c>
      <c r="M13" s="2" t="s">
        <v>107</v>
      </c>
      <c r="N13" s="4">
        <v>10.0</v>
      </c>
      <c r="O13" s="2" t="s">
        <v>108</v>
      </c>
    </row>
    <row r="14" ht="22.5" customHeight="1">
      <c r="A14" s="2" t="s">
        <v>109</v>
      </c>
      <c r="B14" s="2" t="s">
        <v>110</v>
      </c>
      <c r="C14" s="2" t="s">
        <v>17</v>
      </c>
      <c r="D14" s="3" t="s">
        <v>18</v>
      </c>
      <c r="E14" s="3" t="s">
        <v>31</v>
      </c>
      <c r="F14" s="2" t="s">
        <v>20</v>
      </c>
      <c r="G14" s="2" t="s">
        <v>75</v>
      </c>
      <c r="H14" s="2" t="s">
        <v>76</v>
      </c>
      <c r="I14" s="2" t="s">
        <v>111</v>
      </c>
      <c r="J14" s="3" t="s">
        <v>78</v>
      </c>
      <c r="K14" s="2" t="s">
        <v>112</v>
      </c>
      <c r="L14" s="2" t="s">
        <v>113</v>
      </c>
      <c r="M14" s="2" t="s">
        <v>114</v>
      </c>
      <c r="N14" s="4">
        <v>10.0</v>
      </c>
      <c r="O14" s="2" t="s">
        <v>115</v>
      </c>
    </row>
    <row r="15" ht="22.5" customHeight="1">
      <c r="A15" s="2" t="s">
        <v>116</v>
      </c>
      <c r="B15" s="2" t="s">
        <v>117</v>
      </c>
      <c r="C15" s="2" t="s">
        <v>17</v>
      </c>
      <c r="D15" s="3" t="s">
        <v>18</v>
      </c>
      <c r="E15" s="3" t="s">
        <v>87</v>
      </c>
      <c r="F15" s="2" t="s">
        <v>20</v>
      </c>
      <c r="G15" s="2" t="s">
        <v>75</v>
      </c>
      <c r="H15" s="2" t="s">
        <v>76</v>
      </c>
      <c r="I15" s="2" t="s">
        <v>111</v>
      </c>
      <c r="J15" s="3" t="s">
        <v>78</v>
      </c>
      <c r="K15" s="2" t="s">
        <v>97</v>
      </c>
      <c r="L15" s="2" t="s">
        <v>118</v>
      </c>
      <c r="M15" s="2" t="s">
        <v>119</v>
      </c>
      <c r="N15" s="4">
        <v>10.0</v>
      </c>
      <c r="O15" s="2" t="s">
        <v>120</v>
      </c>
    </row>
    <row r="16" ht="22.5" customHeight="1">
      <c r="A16" s="2" t="s">
        <v>121</v>
      </c>
      <c r="B16" s="2" t="s">
        <v>122</v>
      </c>
      <c r="C16" s="2">
        <v>1.0</v>
      </c>
      <c r="D16" s="3" t="s">
        <v>18</v>
      </c>
      <c r="E16" s="3" t="s">
        <v>123</v>
      </c>
      <c r="F16" s="2" t="s">
        <v>124</v>
      </c>
      <c r="G16" s="2" t="s">
        <v>75</v>
      </c>
      <c r="H16" s="2" t="s">
        <v>76</v>
      </c>
      <c r="I16" s="2" t="s">
        <v>125</v>
      </c>
      <c r="J16" s="3" t="s">
        <v>78</v>
      </c>
      <c r="K16" s="2" t="s">
        <v>90</v>
      </c>
      <c r="L16" s="2" t="s">
        <v>126</v>
      </c>
      <c r="M16" s="2" t="s">
        <v>127</v>
      </c>
      <c r="N16" s="4">
        <v>10.0</v>
      </c>
      <c r="O16" s="2" t="s">
        <v>128</v>
      </c>
    </row>
    <row r="17" ht="22.5" customHeight="1">
      <c r="A17" s="2" t="s">
        <v>129</v>
      </c>
      <c r="B17" s="2" t="s">
        <v>130</v>
      </c>
      <c r="C17" s="2" t="s">
        <v>17</v>
      </c>
      <c r="D17" s="3" t="s">
        <v>18</v>
      </c>
      <c r="E17" s="3" t="s">
        <v>31</v>
      </c>
      <c r="F17" s="2" t="s">
        <v>131</v>
      </c>
      <c r="G17" s="2" t="s">
        <v>75</v>
      </c>
      <c r="H17" s="2" t="s">
        <v>76</v>
      </c>
      <c r="I17" s="2" t="s">
        <v>125</v>
      </c>
      <c r="J17" s="3" t="s">
        <v>78</v>
      </c>
      <c r="K17" s="2" t="s">
        <v>79</v>
      </c>
      <c r="L17" s="2" t="s">
        <v>132</v>
      </c>
      <c r="M17" s="2" t="s">
        <v>133</v>
      </c>
      <c r="N17" s="4">
        <v>10.0</v>
      </c>
      <c r="O17" s="2" t="s">
        <v>134</v>
      </c>
    </row>
    <row r="18" ht="22.5" customHeight="1">
      <c r="A18" s="2" t="s">
        <v>135</v>
      </c>
      <c r="B18" s="2" t="s">
        <v>136</v>
      </c>
      <c r="C18" s="2" t="s">
        <v>17</v>
      </c>
      <c r="D18" s="3" t="s">
        <v>18</v>
      </c>
      <c r="E18" s="3" t="s">
        <v>123</v>
      </c>
      <c r="F18" s="2" t="s">
        <v>20</v>
      </c>
      <c r="G18" s="2" t="s">
        <v>75</v>
      </c>
      <c r="H18" s="2" t="s">
        <v>76</v>
      </c>
      <c r="I18" s="2" t="s">
        <v>89</v>
      </c>
      <c r="J18" s="3" t="s">
        <v>78</v>
      </c>
      <c r="K18" s="2" t="s">
        <v>90</v>
      </c>
      <c r="L18" s="2" t="s">
        <v>137</v>
      </c>
      <c r="M18" s="2" t="s">
        <v>138</v>
      </c>
      <c r="N18" s="4">
        <v>10.0</v>
      </c>
      <c r="O18" s="2" t="s">
        <v>139</v>
      </c>
    </row>
    <row r="19" ht="22.5" customHeight="1">
      <c r="A19" s="2" t="s">
        <v>140</v>
      </c>
      <c r="B19" s="2" t="s">
        <v>141</v>
      </c>
      <c r="C19" s="2" t="s">
        <v>17</v>
      </c>
      <c r="D19" s="3" t="s">
        <v>18</v>
      </c>
      <c r="E19" s="3" t="s">
        <v>19</v>
      </c>
      <c r="F19" s="2" t="s">
        <v>142</v>
      </c>
      <c r="G19" s="2" t="s">
        <v>75</v>
      </c>
      <c r="H19" s="2" t="s">
        <v>76</v>
      </c>
      <c r="I19" s="2" t="s">
        <v>125</v>
      </c>
      <c r="J19" s="3" t="s">
        <v>78</v>
      </c>
      <c r="K19" s="2" t="s">
        <v>143</v>
      </c>
      <c r="L19" s="2" t="s">
        <v>144</v>
      </c>
      <c r="M19" s="2" t="s">
        <v>145</v>
      </c>
      <c r="N19" s="4">
        <v>10.0</v>
      </c>
      <c r="O19" s="2" t="s">
        <v>146</v>
      </c>
    </row>
    <row r="20" ht="22.5" customHeight="1">
      <c r="A20" s="2" t="s">
        <v>147</v>
      </c>
      <c r="B20" s="2" t="s">
        <v>148</v>
      </c>
      <c r="C20" s="2" t="s">
        <v>17</v>
      </c>
      <c r="D20" s="3" t="s">
        <v>18</v>
      </c>
      <c r="E20" s="3" t="s">
        <v>87</v>
      </c>
      <c r="F20" s="2" t="s">
        <v>20</v>
      </c>
      <c r="G20" s="2" t="s">
        <v>75</v>
      </c>
      <c r="H20" s="2" t="s">
        <v>76</v>
      </c>
      <c r="I20" s="2" t="s">
        <v>125</v>
      </c>
      <c r="J20" s="3" t="s">
        <v>78</v>
      </c>
      <c r="K20" s="2" t="s">
        <v>149</v>
      </c>
      <c r="L20" s="2" t="s">
        <v>150</v>
      </c>
      <c r="M20" s="2" t="s">
        <v>151</v>
      </c>
      <c r="N20" s="4">
        <v>10.0</v>
      </c>
      <c r="O20" s="2" t="s">
        <v>152</v>
      </c>
    </row>
    <row r="21" ht="22.5" customHeight="1">
      <c r="A21" s="2" t="s">
        <v>153</v>
      </c>
      <c r="B21" s="2" t="s">
        <v>154</v>
      </c>
      <c r="C21" s="2" t="s">
        <v>17</v>
      </c>
      <c r="D21" s="3" t="s">
        <v>18</v>
      </c>
      <c r="E21" s="3" t="s">
        <v>87</v>
      </c>
      <c r="F21" s="2" t="s">
        <v>155</v>
      </c>
      <c r="G21" s="2" t="s">
        <v>75</v>
      </c>
      <c r="H21" s="2" t="s">
        <v>76</v>
      </c>
      <c r="I21" s="2" t="s">
        <v>156</v>
      </c>
      <c r="J21" s="3" t="s">
        <v>78</v>
      </c>
      <c r="K21" s="2" t="s">
        <v>157</v>
      </c>
      <c r="L21" s="2" t="s">
        <v>158</v>
      </c>
      <c r="M21" s="2" t="s">
        <v>159</v>
      </c>
      <c r="N21" s="4">
        <v>10.0</v>
      </c>
      <c r="O21" s="2" t="s">
        <v>160</v>
      </c>
    </row>
    <row r="22" ht="22.5" customHeight="1">
      <c r="A22" s="2" t="s">
        <v>161</v>
      </c>
      <c r="B22" s="2" t="s">
        <v>162</v>
      </c>
      <c r="C22" s="2" t="s">
        <v>17</v>
      </c>
      <c r="D22" s="3" t="s">
        <v>18</v>
      </c>
      <c r="E22" s="3" t="s">
        <v>163</v>
      </c>
      <c r="F22" s="2" t="s">
        <v>164</v>
      </c>
      <c r="G22" s="2" t="s">
        <v>75</v>
      </c>
      <c r="H22" s="2" t="s">
        <v>76</v>
      </c>
      <c r="I22" s="2" t="s">
        <v>125</v>
      </c>
      <c r="J22" s="3" t="s">
        <v>78</v>
      </c>
      <c r="K22" s="2" t="s">
        <v>165</v>
      </c>
      <c r="L22" s="2" t="s">
        <v>166</v>
      </c>
      <c r="M22" s="2" t="s">
        <v>167</v>
      </c>
      <c r="N22" s="4">
        <v>10.0</v>
      </c>
      <c r="O22" s="2" t="s">
        <v>168</v>
      </c>
    </row>
    <row r="23" ht="22.5" customHeight="1">
      <c r="A23" s="2" t="s">
        <v>169</v>
      </c>
      <c r="B23" s="2" t="s">
        <v>170</v>
      </c>
      <c r="C23" s="2" t="s">
        <v>17</v>
      </c>
      <c r="D23" s="3" t="s">
        <v>18</v>
      </c>
      <c r="E23" s="3" t="s">
        <v>87</v>
      </c>
      <c r="F23" s="2" t="s">
        <v>171</v>
      </c>
      <c r="G23" s="2" t="s">
        <v>172</v>
      </c>
      <c r="H23" s="2" t="s">
        <v>51</v>
      </c>
      <c r="I23" s="2" t="s">
        <v>33</v>
      </c>
      <c r="J23" s="3" t="s">
        <v>24</v>
      </c>
      <c r="K23" s="2" t="s">
        <v>25</v>
      </c>
      <c r="L23" s="2" t="s">
        <v>173</v>
      </c>
      <c r="M23" s="2" t="s">
        <v>174</v>
      </c>
      <c r="N23" s="4">
        <v>10.0</v>
      </c>
      <c r="O23" s="2" t="s">
        <v>175</v>
      </c>
    </row>
    <row r="24" ht="22.5" customHeight="1">
      <c r="A24" s="2" t="s">
        <v>176</v>
      </c>
      <c r="B24" s="2" t="s">
        <v>177</v>
      </c>
      <c r="C24" s="2" t="s">
        <v>17</v>
      </c>
      <c r="D24" s="3" t="s">
        <v>18</v>
      </c>
      <c r="E24" s="3" t="s">
        <v>87</v>
      </c>
      <c r="F24" s="2" t="s">
        <v>20</v>
      </c>
      <c r="G24" s="2" t="s">
        <v>172</v>
      </c>
      <c r="H24" s="2" t="s">
        <v>51</v>
      </c>
      <c r="I24" s="2" t="s">
        <v>178</v>
      </c>
      <c r="J24" s="3" t="s">
        <v>24</v>
      </c>
      <c r="K24" s="2" t="s">
        <v>25</v>
      </c>
      <c r="L24" s="2" t="s">
        <v>179</v>
      </c>
      <c r="M24" s="2" t="s">
        <v>180</v>
      </c>
      <c r="N24" s="4">
        <v>10.0</v>
      </c>
      <c r="O24" s="2" t="s">
        <v>181</v>
      </c>
    </row>
    <row r="25" ht="22.5" customHeight="1">
      <c r="A25" s="2" t="s">
        <v>182</v>
      </c>
      <c r="B25" s="2" t="s">
        <v>183</v>
      </c>
      <c r="C25" s="2" t="s">
        <v>17</v>
      </c>
      <c r="D25" s="3" t="s">
        <v>18</v>
      </c>
      <c r="E25" s="3" t="s">
        <v>87</v>
      </c>
      <c r="F25" s="2" t="s">
        <v>184</v>
      </c>
      <c r="G25" s="2" t="s">
        <v>172</v>
      </c>
      <c r="H25" s="2" t="s">
        <v>51</v>
      </c>
      <c r="I25" s="2" t="s">
        <v>23</v>
      </c>
      <c r="J25" s="3" t="s">
        <v>24</v>
      </c>
      <c r="K25" s="2" t="s">
        <v>25</v>
      </c>
      <c r="L25" s="2" t="s">
        <v>185</v>
      </c>
      <c r="M25" s="2" t="s">
        <v>186</v>
      </c>
      <c r="N25" s="4">
        <v>10.0</v>
      </c>
      <c r="O25" s="2" t="s">
        <v>187</v>
      </c>
    </row>
    <row r="26" ht="22.5" customHeight="1">
      <c r="A26" s="2" t="s">
        <v>188</v>
      </c>
      <c r="B26" s="2" t="s">
        <v>189</v>
      </c>
      <c r="C26" s="2" t="s">
        <v>17</v>
      </c>
      <c r="D26" s="3" t="s">
        <v>18</v>
      </c>
      <c r="E26" s="3" t="s">
        <v>87</v>
      </c>
      <c r="F26" s="2" t="s">
        <v>20</v>
      </c>
      <c r="G26" s="2" t="s">
        <v>190</v>
      </c>
      <c r="H26" s="2" t="s">
        <v>191</v>
      </c>
      <c r="I26" s="2" t="s">
        <v>192</v>
      </c>
      <c r="J26" s="3" t="s">
        <v>193</v>
      </c>
      <c r="K26" s="2" t="s">
        <v>194</v>
      </c>
      <c r="L26" s="2" t="s">
        <v>195</v>
      </c>
      <c r="M26" s="2" t="s">
        <v>196</v>
      </c>
      <c r="N26" s="4">
        <v>10.0</v>
      </c>
      <c r="O26" s="2" t="s">
        <v>197</v>
      </c>
    </row>
    <row r="27" ht="22.5" customHeight="1">
      <c r="A27" s="2" t="s">
        <v>198</v>
      </c>
      <c r="B27" s="2" t="s">
        <v>199</v>
      </c>
      <c r="C27" s="2" t="s">
        <v>17</v>
      </c>
      <c r="D27" s="3" t="s">
        <v>18</v>
      </c>
      <c r="E27" s="3" t="s">
        <v>87</v>
      </c>
      <c r="F27" s="2" t="s">
        <v>32</v>
      </c>
      <c r="G27" s="2" t="s">
        <v>190</v>
      </c>
      <c r="H27" s="2" t="s">
        <v>191</v>
      </c>
      <c r="I27" s="2" t="s">
        <v>192</v>
      </c>
      <c r="J27" s="3" t="s">
        <v>193</v>
      </c>
      <c r="K27" s="2" t="s">
        <v>194</v>
      </c>
      <c r="L27" s="2" t="s">
        <v>200</v>
      </c>
      <c r="M27" s="2" t="s">
        <v>201</v>
      </c>
      <c r="N27" s="4">
        <v>10.0</v>
      </c>
      <c r="O27" s="2" t="s">
        <v>202</v>
      </c>
    </row>
    <row r="28" ht="22.5" customHeight="1">
      <c r="A28" s="2" t="s">
        <v>203</v>
      </c>
      <c r="B28" s="2" t="s">
        <v>204</v>
      </c>
      <c r="C28" s="2">
        <v>79000.0</v>
      </c>
      <c r="D28" s="3" t="s">
        <v>86</v>
      </c>
      <c r="E28" s="3" t="s">
        <v>19</v>
      </c>
      <c r="F28" s="2" t="s">
        <v>205</v>
      </c>
      <c r="G28" s="2" t="s">
        <v>190</v>
      </c>
      <c r="H28" s="2" t="s">
        <v>191</v>
      </c>
      <c r="I28" s="2" t="s">
        <v>206</v>
      </c>
      <c r="J28" s="3" t="s">
        <v>193</v>
      </c>
      <c r="K28" s="2" t="s">
        <v>207</v>
      </c>
      <c r="L28" s="2" t="s">
        <v>208</v>
      </c>
      <c r="M28" s="2" t="s">
        <v>209</v>
      </c>
      <c r="N28" s="4">
        <v>10.0</v>
      </c>
      <c r="O28" s="2" t="s">
        <v>210</v>
      </c>
    </row>
    <row r="29" ht="22.5" customHeight="1">
      <c r="A29" s="2" t="s">
        <v>211</v>
      </c>
      <c r="B29" s="2" t="s">
        <v>212</v>
      </c>
      <c r="C29" s="2" t="s">
        <v>17</v>
      </c>
      <c r="D29" s="3" t="s">
        <v>18</v>
      </c>
      <c r="E29" s="3" t="s">
        <v>87</v>
      </c>
      <c r="F29" s="2" t="s">
        <v>213</v>
      </c>
      <c r="G29" s="2" t="s">
        <v>190</v>
      </c>
      <c r="H29" s="2" t="s">
        <v>191</v>
      </c>
      <c r="I29" s="2" t="s">
        <v>206</v>
      </c>
      <c r="J29" s="3" t="s">
        <v>193</v>
      </c>
      <c r="K29" s="2" t="s">
        <v>214</v>
      </c>
      <c r="L29" s="2" t="s">
        <v>215</v>
      </c>
      <c r="M29" s="2" t="s">
        <v>209</v>
      </c>
      <c r="N29" s="4">
        <v>10.0</v>
      </c>
      <c r="O29" s="2" t="s">
        <v>216</v>
      </c>
    </row>
    <row r="30" ht="22.5" customHeight="1">
      <c r="A30" s="2" t="s">
        <v>217</v>
      </c>
      <c r="B30" s="2" t="s">
        <v>218</v>
      </c>
      <c r="C30" s="2" t="s">
        <v>17</v>
      </c>
      <c r="D30" s="3" t="s">
        <v>18</v>
      </c>
      <c r="E30" s="3" t="s">
        <v>87</v>
      </c>
      <c r="F30" s="2" t="s">
        <v>219</v>
      </c>
      <c r="G30" s="2" t="s">
        <v>190</v>
      </c>
      <c r="H30" s="2" t="s">
        <v>191</v>
      </c>
      <c r="I30" s="2" t="s">
        <v>192</v>
      </c>
      <c r="J30" s="3" t="s">
        <v>193</v>
      </c>
      <c r="K30" s="2" t="s">
        <v>220</v>
      </c>
      <c r="L30" s="2" t="s">
        <v>221</v>
      </c>
      <c r="M30" s="2" t="s">
        <v>222</v>
      </c>
      <c r="N30" s="4">
        <v>10.0</v>
      </c>
      <c r="O30" s="2" t="s">
        <v>223</v>
      </c>
    </row>
    <row r="31" ht="22.5" customHeight="1">
      <c r="A31" s="2" t="s">
        <v>224</v>
      </c>
      <c r="B31" s="2" t="s">
        <v>225</v>
      </c>
      <c r="C31" s="2" t="s">
        <v>17</v>
      </c>
      <c r="D31" s="3" t="s">
        <v>18</v>
      </c>
      <c r="E31" s="3" t="s">
        <v>19</v>
      </c>
      <c r="F31" s="2" t="s">
        <v>226</v>
      </c>
      <c r="G31" s="2" t="s">
        <v>227</v>
      </c>
      <c r="H31" s="2" t="s">
        <v>191</v>
      </c>
      <c r="I31" s="2" t="s">
        <v>228</v>
      </c>
      <c r="J31" s="3" t="s">
        <v>229</v>
      </c>
      <c r="K31" s="2" t="s">
        <v>230</v>
      </c>
      <c r="L31" s="2" t="s">
        <v>231</v>
      </c>
      <c r="M31" s="2" t="s">
        <v>232</v>
      </c>
      <c r="N31" s="4">
        <v>10.0</v>
      </c>
      <c r="O31" s="2" t="s">
        <v>233</v>
      </c>
    </row>
    <row r="32" ht="22.5" customHeight="1">
      <c r="A32" s="2" t="s">
        <v>234</v>
      </c>
      <c r="B32" s="2" t="s">
        <v>235</v>
      </c>
      <c r="C32" s="2" t="s">
        <v>17</v>
      </c>
      <c r="D32" s="3" t="s">
        <v>18</v>
      </c>
      <c r="E32" s="3" t="s">
        <v>19</v>
      </c>
      <c r="F32" s="2" t="s">
        <v>236</v>
      </c>
      <c r="G32" s="2" t="s">
        <v>227</v>
      </c>
      <c r="H32" s="2" t="s">
        <v>191</v>
      </c>
      <c r="I32" s="2" t="s">
        <v>228</v>
      </c>
      <c r="J32" s="3" t="s">
        <v>229</v>
      </c>
      <c r="K32" s="2" t="s">
        <v>230</v>
      </c>
      <c r="L32" s="2" t="s">
        <v>237</v>
      </c>
      <c r="M32" s="2" t="s">
        <v>238</v>
      </c>
      <c r="N32" s="4">
        <v>10.0</v>
      </c>
      <c r="O32" s="2" t="s">
        <v>239</v>
      </c>
    </row>
    <row r="33" ht="22.5" customHeight="1">
      <c r="A33" s="2" t="s">
        <v>240</v>
      </c>
      <c r="B33" s="2" t="s">
        <v>241</v>
      </c>
      <c r="C33" s="2">
        <v>2.07127905E8</v>
      </c>
      <c r="D33" s="3" t="s">
        <v>86</v>
      </c>
      <c r="E33" s="3" t="s">
        <v>19</v>
      </c>
      <c r="F33" s="2" t="s">
        <v>242</v>
      </c>
      <c r="G33" s="2" t="s">
        <v>227</v>
      </c>
      <c r="H33" s="2" t="s">
        <v>191</v>
      </c>
      <c r="I33" s="2" t="s">
        <v>228</v>
      </c>
      <c r="J33" s="3" t="s">
        <v>229</v>
      </c>
      <c r="K33" s="2" t="s">
        <v>230</v>
      </c>
      <c r="L33" s="2" t="s">
        <v>243</v>
      </c>
      <c r="M33" s="2" t="s">
        <v>244</v>
      </c>
      <c r="N33" s="4">
        <v>10.0</v>
      </c>
      <c r="O33" s="2" t="s">
        <v>245</v>
      </c>
    </row>
    <row r="34" ht="22.5" customHeight="1">
      <c r="A34" s="2" t="s">
        <v>246</v>
      </c>
      <c r="B34" s="2" t="s">
        <v>247</v>
      </c>
      <c r="C34" s="2" t="s">
        <v>17</v>
      </c>
      <c r="D34" s="3" t="s">
        <v>18</v>
      </c>
      <c r="E34" s="3" t="s">
        <v>19</v>
      </c>
      <c r="F34" s="2" t="s">
        <v>236</v>
      </c>
      <c r="G34" s="2" t="s">
        <v>227</v>
      </c>
      <c r="H34" s="2" t="s">
        <v>191</v>
      </c>
      <c r="I34" s="2" t="s">
        <v>228</v>
      </c>
      <c r="J34" s="3" t="s">
        <v>229</v>
      </c>
      <c r="K34" s="2" t="s">
        <v>230</v>
      </c>
      <c r="L34" s="2" t="s">
        <v>248</v>
      </c>
      <c r="M34" s="2" t="s">
        <v>249</v>
      </c>
      <c r="N34" s="4">
        <v>10.0</v>
      </c>
      <c r="O34" s="2" t="s">
        <v>250</v>
      </c>
    </row>
    <row r="35" ht="22.5" customHeight="1">
      <c r="A35" s="2" t="s">
        <v>251</v>
      </c>
      <c r="B35" s="2" t="s">
        <v>252</v>
      </c>
      <c r="C35" s="2" t="s">
        <v>17</v>
      </c>
      <c r="D35" s="3" t="s">
        <v>18</v>
      </c>
      <c r="E35" s="3" t="s">
        <v>19</v>
      </c>
      <c r="F35" s="2" t="s">
        <v>253</v>
      </c>
      <c r="G35" s="2" t="s">
        <v>227</v>
      </c>
      <c r="H35" s="2" t="s">
        <v>191</v>
      </c>
      <c r="I35" s="2" t="s">
        <v>228</v>
      </c>
      <c r="J35" s="3" t="s">
        <v>229</v>
      </c>
      <c r="K35" s="2" t="s">
        <v>230</v>
      </c>
      <c r="L35" s="2" t="s">
        <v>254</v>
      </c>
      <c r="M35" s="2" t="s">
        <v>255</v>
      </c>
      <c r="N35" s="4">
        <v>10.0</v>
      </c>
      <c r="O35" s="2" t="s">
        <v>256</v>
      </c>
    </row>
    <row r="36" ht="22.5" customHeight="1">
      <c r="A36" s="2" t="s">
        <v>257</v>
      </c>
      <c r="B36" s="2" t="s">
        <v>258</v>
      </c>
      <c r="C36" s="2" t="s">
        <v>17</v>
      </c>
      <c r="D36" s="3" t="s">
        <v>18</v>
      </c>
      <c r="E36" s="3" t="s">
        <v>87</v>
      </c>
      <c r="F36" s="2" t="s">
        <v>32</v>
      </c>
      <c r="G36" s="2" t="s">
        <v>190</v>
      </c>
      <c r="H36" s="2" t="s">
        <v>191</v>
      </c>
      <c r="I36" s="2" t="s">
        <v>259</v>
      </c>
      <c r="J36" s="3" t="s">
        <v>193</v>
      </c>
      <c r="K36" s="2" t="s">
        <v>260</v>
      </c>
      <c r="L36" s="2" t="s">
        <v>261</v>
      </c>
      <c r="M36" s="2" t="s">
        <v>262</v>
      </c>
      <c r="N36" s="4">
        <v>10.0</v>
      </c>
      <c r="O36" s="2" t="s">
        <v>263</v>
      </c>
    </row>
    <row r="37" ht="22.5" customHeight="1">
      <c r="A37" s="2" t="s">
        <v>264</v>
      </c>
      <c r="B37" s="2" t="s">
        <v>265</v>
      </c>
      <c r="C37" s="2" t="s">
        <v>17</v>
      </c>
      <c r="D37" s="3" t="s">
        <v>18</v>
      </c>
      <c r="E37" s="3" t="s">
        <v>19</v>
      </c>
      <c r="F37" s="2" t="s">
        <v>20</v>
      </c>
      <c r="G37" s="2" t="s">
        <v>172</v>
      </c>
      <c r="H37" s="2" t="s">
        <v>51</v>
      </c>
      <c r="I37" s="2" t="s">
        <v>178</v>
      </c>
      <c r="J37" s="3" t="s">
        <v>24</v>
      </c>
      <c r="K37" s="2" t="s">
        <v>25</v>
      </c>
      <c r="L37" s="2" t="s">
        <v>266</v>
      </c>
      <c r="M37" s="2" t="s">
        <v>267</v>
      </c>
      <c r="N37" s="4">
        <v>10.0</v>
      </c>
      <c r="O37" s="2" t="s">
        <v>268</v>
      </c>
    </row>
    <row r="38" ht="22.5" customHeight="1">
      <c r="A38" s="2" t="s">
        <v>269</v>
      </c>
      <c r="B38" s="2" t="s">
        <v>270</v>
      </c>
      <c r="C38" s="2" t="s">
        <v>17</v>
      </c>
      <c r="D38" s="3" t="s">
        <v>18</v>
      </c>
      <c r="E38" s="3" t="s">
        <v>87</v>
      </c>
      <c r="F38" s="2" t="s">
        <v>271</v>
      </c>
      <c r="G38" s="2" t="s">
        <v>272</v>
      </c>
      <c r="H38" s="2" t="s">
        <v>273</v>
      </c>
      <c r="I38" s="2" t="s">
        <v>274</v>
      </c>
      <c r="J38" s="3" t="s">
        <v>275</v>
      </c>
      <c r="K38" s="2" t="s">
        <v>25</v>
      </c>
      <c r="L38" s="2" t="s">
        <v>276</v>
      </c>
      <c r="M38" s="2" t="s">
        <v>277</v>
      </c>
      <c r="N38" s="4">
        <v>10.0</v>
      </c>
      <c r="O38" s="2" t="s">
        <v>278</v>
      </c>
    </row>
    <row r="39" ht="22.5" customHeight="1">
      <c r="A39" s="2" t="s">
        <v>279</v>
      </c>
      <c r="B39" s="2" t="s">
        <v>280</v>
      </c>
      <c r="C39" s="2" t="s">
        <v>17</v>
      </c>
      <c r="D39" s="3" t="s">
        <v>18</v>
      </c>
      <c r="E39" s="3" t="s">
        <v>19</v>
      </c>
      <c r="F39" s="2" t="s">
        <v>20</v>
      </c>
      <c r="G39" s="2" t="s">
        <v>281</v>
      </c>
      <c r="H39" s="2" t="s">
        <v>22</v>
      </c>
      <c r="I39" s="2" t="s">
        <v>282</v>
      </c>
      <c r="J39" s="3" t="s">
        <v>275</v>
      </c>
      <c r="K39" s="2" t="s">
        <v>25</v>
      </c>
      <c r="L39" s="2" t="s">
        <v>283</v>
      </c>
      <c r="M39" s="2" t="s">
        <v>284</v>
      </c>
      <c r="N39" s="4">
        <v>10.0</v>
      </c>
      <c r="O39" s="2" t="s">
        <v>285</v>
      </c>
    </row>
    <row r="40" ht="22.5" customHeight="1">
      <c r="A40" s="2" t="s">
        <v>286</v>
      </c>
      <c r="B40" s="2" t="s">
        <v>287</v>
      </c>
      <c r="C40" s="2" t="s">
        <v>17</v>
      </c>
      <c r="D40" s="3" t="s">
        <v>18</v>
      </c>
      <c r="E40" s="3" t="s">
        <v>19</v>
      </c>
      <c r="F40" s="2" t="s">
        <v>288</v>
      </c>
      <c r="G40" s="2" t="s">
        <v>21</v>
      </c>
      <c r="H40" s="2" t="s">
        <v>22</v>
      </c>
      <c r="I40" s="2" t="s">
        <v>282</v>
      </c>
      <c r="J40" s="3" t="s">
        <v>275</v>
      </c>
      <c r="K40" s="2" t="s">
        <v>25</v>
      </c>
      <c r="L40" s="2" t="s">
        <v>289</v>
      </c>
      <c r="M40" s="2" t="s">
        <v>290</v>
      </c>
      <c r="N40" s="4">
        <v>10.0</v>
      </c>
      <c r="O40" s="2" t="s">
        <v>291</v>
      </c>
    </row>
    <row r="41" ht="22.5" customHeight="1">
      <c r="A41" s="2" t="s">
        <v>292</v>
      </c>
      <c r="B41" s="2" t="s">
        <v>293</v>
      </c>
      <c r="C41" s="2" t="s">
        <v>17</v>
      </c>
      <c r="D41" s="3" t="s">
        <v>18</v>
      </c>
      <c r="E41" s="3" t="s">
        <v>87</v>
      </c>
      <c r="F41" s="2" t="s">
        <v>294</v>
      </c>
      <c r="G41" s="2" t="s">
        <v>295</v>
      </c>
      <c r="H41" s="2" t="s">
        <v>296</v>
      </c>
      <c r="I41" s="2" t="s">
        <v>297</v>
      </c>
      <c r="J41" s="3" t="s">
        <v>298</v>
      </c>
      <c r="K41" s="2" t="s">
        <v>25</v>
      </c>
      <c r="L41" s="2" t="s">
        <v>299</v>
      </c>
      <c r="M41" s="2" t="s">
        <v>300</v>
      </c>
      <c r="N41" s="4">
        <v>10.0</v>
      </c>
      <c r="O41" s="2" t="s">
        <v>301</v>
      </c>
    </row>
    <row r="42" ht="22.5" customHeight="1">
      <c r="A42" s="2" t="s">
        <v>302</v>
      </c>
      <c r="B42" s="2" t="s">
        <v>303</v>
      </c>
      <c r="C42" s="2" t="s">
        <v>17</v>
      </c>
      <c r="D42" s="3" t="s">
        <v>18</v>
      </c>
      <c r="E42" s="3" t="s">
        <v>87</v>
      </c>
      <c r="F42" s="2" t="s">
        <v>304</v>
      </c>
      <c r="G42" s="2" t="s">
        <v>295</v>
      </c>
      <c r="H42" s="2" t="s">
        <v>296</v>
      </c>
      <c r="I42" s="2" t="s">
        <v>297</v>
      </c>
      <c r="J42" s="3" t="s">
        <v>298</v>
      </c>
      <c r="K42" s="2" t="s">
        <v>25</v>
      </c>
      <c r="L42" s="2" t="s">
        <v>305</v>
      </c>
      <c r="M42" s="2" t="s">
        <v>306</v>
      </c>
      <c r="N42" s="4">
        <v>10.0</v>
      </c>
      <c r="O42" s="2" t="s">
        <v>307</v>
      </c>
    </row>
    <row r="43" ht="22.5" customHeight="1">
      <c r="A43" s="2" t="s">
        <v>308</v>
      </c>
      <c r="B43" s="2" t="s">
        <v>309</v>
      </c>
      <c r="C43" s="2" t="s">
        <v>17</v>
      </c>
      <c r="D43" s="3" t="s">
        <v>18</v>
      </c>
      <c r="E43" s="3" t="s">
        <v>19</v>
      </c>
      <c r="F43" s="2" t="s">
        <v>310</v>
      </c>
      <c r="G43" s="2" t="s">
        <v>21</v>
      </c>
      <c r="H43" s="2" t="s">
        <v>22</v>
      </c>
      <c r="I43" s="2" t="s">
        <v>23</v>
      </c>
      <c r="J43" s="3" t="s">
        <v>24</v>
      </c>
      <c r="K43" s="2" t="s">
        <v>311</v>
      </c>
      <c r="L43" s="2" t="s">
        <v>312</v>
      </c>
      <c r="M43" s="2" t="s">
        <v>313</v>
      </c>
      <c r="N43" s="4">
        <v>10.0</v>
      </c>
      <c r="O43" s="2" t="s">
        <v>314</v>
      </c>
    </row>
  </sheetData>
  <dataValidations>
    <dataValidation type="list" allowBlank="1" showDropDown="1" showErrorMessage="1" sqref="J2:J43">
      <formula1>"Construction,Feedstock,Offtake,Offtaker,Technology,Overall"</formula1>
    </dataValidation>
    <dataValidation type="list" allowBlank="1" showDropDown="1" showErrorMessage="1" sqref="D2:D43">
      <formula1>"HIGH,MEDIUM"</formula1>
    </dataValidation>
    <dataValidation type="custom" allowBlank="1" showDropDown="1" sqref="N2:N43">
      <formula1>AND(ISNUMBER(N2),(NOT(OR(NOT(ISERROR(DATEVALUE(N2))), AND(ISNUMBER(N2), LEFT(CELL("format", N2))="D")))))</formula1>
    </dataValidation>
    <dataValidation type="list" allowBlank="1" showDropDown="1" showErrorMessage="1" sqref="E2:E43">
      <formula1>"float,date,string,int,array"</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1.63"/>
    <col customWidth="1" min="4" max="4" width="37.63"/>
    <col customWidth="1" min="5" max="5" width="18.88"/>
    <col customWidth="1" min="6" max="6" width="20.25"/>
    <col customWidth="1" min="7" max="7" width="16.88"/>
    <col customWidth="1" min="8" max="8" width="23.0"/>
    <col customWidth="1" min="9" max="9" width="16.13"/>
    <col customWidth="1" min="10" max="10" width="23.5"/>
    <col customWidth="1" min="11" max="11" width="37.63"/>
    <col customWidth="1" min="12" max="12" width="32.88"/>
    <col customWidth="1" min="13" max="13" width="35.38"/>
    <col customWidth="1" min="14" max="14" width="24.13"/>
    <col customWidth="1" min="15" max="15" width="24.0"/>
    <col customWidth="1" min="16" max="16" width="21.75"/>
    <col customWidth="1" min="17" max="17" width="21.25"/>
  </cols>
  <sheetData>
    <row r="1" ht="22.5" customHeight="1">
      <c r="A1" s="1" t="s">
        <v>0</v>
      </c>
      <c r="B1" s="1" t="s">
        <v>1</v>
      </c>
      <c r="C1" s="1" t="s">
        <v>2</v>
      </c>
      <c r="D1" s="1" t="s">
        <v>12</v>
      </c>
      <c r="E1" s="1" t="s">
        <v>315</v>
      </c>
      <c r="F1" s="1" t="s">
        <v>316</v>
      </c>
      <c r="G1" s="1" t="s">
        <v>3</v>
      </c>
      <c r="H1" s="1" t="s">
        <v>317</v>
      </c>
      <c r="I1" s="1" t="s">
        <v>318</v>
      </c>
      <c r="J1" s="1" t="s">
        <v>4</v>
      </c>
      <c r="K1" s="1" t="s">
        <v>319</v>
      </c>
      <c r="L1" s="1" t="s">
        <v>6</v>
      </c>
      <c r="M1" s="1" t="s">
        <v>7</v>
      </c>
      <c r="N1" s="1" t="s">
        <v>8</v>
      </c>
      <c r="O1" s="1" t="s">
        <v>9</v>
      </c>
      <c r="P1" s="1" t="s">
        <v>320</v>
      </c>
      <c r="Q1" s="1" t="s">
        <v>13</v>
      </c>
    </row>
    <row r="2" ht="22.5" customHeight="1">
      <c r="A2" s="2" t="s">
        <v>15</v>
      </c>
      <c r="B2" s="2" t="s">
        <v>16</v>
      </c>
      <c r="C2" s="2" t="s">
        <v>17</v>
      </c>
      <c r="D2" s="2" t="s">
        <v>27</v>
      </c>
      <c r="E2" s="3" t="s">
        <v>321</v>
      </c>
      <c r="F2" s="4">
        <v>0.0</v>
      </c>
      <c r="G2" s="3" t="s">
        <v>18</v>
      </c>
      <c r="H2" s="3" t="b">
        <v>0</v>
      </c>
      <c r="I2" s="3" t="b">
        <v>0</v>
      </c>
      <c r="J2" s="3" t="s">
        <v>19</v>
      </c>
      <c r="K2" s="2" t="s">
        <v>322</v>
      </c>
      <c r="L2" s="2" t="s">
        <v>21</v>
      </c>
      <c r="M2" s="2" t="s">
        <v>22</v>
      </c>
      <c r="N2" s="2" t="s">
        <v>23</v>
      </c>
      <c r="O2" s="3" t="s">
        <v>24</v>
      </c>
      <c r="P2" s="2" t="b">
        <v>1</v>
      </c>
      <c r="Q2" s="4">
        <v>10.0</v>
      </c>
    </row>
    <row r="3" ht="22.5" customHeight="1">
      <c r="A3" s="2" t="s">
        <v>29</v>
      </c>
      <c r="B3" s="2" t="s">
        <v>30</v>
      </c>
      <c r="C3" s="2" t="s">
        <v>17</v>
      </c>
      <c r="D3" s="2" t="s">
        <v>35</v>
      </c>
      <c r="E3" s="3" t="s">
        <v>321</v>
      </c>
      <c r="F3" s="4">
        <v>0.0</v>
      </c>
      <c r="G3" s="3" t="s">
        <v>18</v>
      </c>
      <c r="H3" s="3" t="b">
        <v>0</v>
      </c>
      <c r="I3" s="3" t="b">
        <v>0</v>
      </c>
      <c r="J3" s="3" t="s">
        <v>31</v>
      </c>
      <c r="K3" s="2" t="s">
        <v>322</v>
      </c>
      <c r="L3" s="2" t="s">
        <v>21</v>
      </c>
      <c r="M3" s="2" t="s">
        <v>22</v>
      </c>
      <c r="N3" s="2" t="s">
        <v>33</v>
      </c>
      <c r="O3" s="3" t="s">
        <v>24</v>
      </c>
      <c r="P3" s="2" t="b">
        <v>1</v>
      </c>
      <c r="Q3" s="4">
        <v>10.0</v>
      </c>
    </row>
    <row r="4" ht="22.5" customHeight="1">
      <c r="A4" s="2" t="s">
        <v>37</v>
      </c>
      <c r="B4" s="2" t="s">
        <v>38</v>
      </c>
      <c r="C4" s="2" t="s">
        <v>17</v>
      </c>
      <c r="D4" s="2" t="s">
        <v>41</v>
      </c>
      <c r="E4" s="3" t="s">
        <v>321</v>
      </c>
      <c r="F4" s="4">
        <v>0.0</v>
      </c>
      <c r="G4" s="3" t="s">
        <v>18</v>
      </c>
      <c r="H4" s="3" t="b">
        <v>0</v>
      </c>
      <c r="I4" s="3" t="b">
        <v>0</v>
      </c>
      <c r="J4" s="3" t="s">
        <v>31</v>
      </c>
      <c r="K4" s="2" t="s">
        <v>322</v>
      </c>
      <c r="L4" s="2" t="s">
        <v>21</v>
      </c>
      <c r="M4" s="2" t="s">
        <v>22</v>
      </c>
      <c r="N4" s="2" t="s">
        <v>33</v>
      </c>
      <c r="O4" s="3" t="s">
        <v>24</v>
      </c>
      <c r="P4" s="2" t="b">
        <v>1</v>
      </c>
      <c r="Q4" s="4">
        <v>10.0</v>
      </c>
    </row>
    <row r="5" ht="22.5" customHeight="1">
      <c r="A5" s="2" t="s">
        <v>43</v>
      </c>
      <c r="B5" s="2" t="s">
        <v>44</v>
      </c>
      <c r="C5" s="2" t="s">
        <v>17</v>
      </c>
      <c r="D5" s="2" t="s">
        <v>46</v>
      </c>
      <c r="E5" s="3" t="s">
        <v>321</v>
      </c>
      <c r="F5" s="4">
        <v>0.0</v>
      </c>
      <c r="G5" s="3" t="s">
        <v>18</v>
      </c>
      <c r="H5" s="3" t="b">
        <v>0</v>
      </c>
      <c r="I5" s="3" t="b">
        <v>0</v>
      </c>
      <c r="J5" s="3" t="s">
        <v>31</v>
      </c>
      <c r="K5" s="2" t="s">
        <v>322</v>
      </c>
      <c r="L5" s="2" t="s">
        <v>21</v>
      </c>
      <c r="M5" s="2" t="s">
        <v>22</v>
      </c>
      <c r="N5" s="2" t="s">
        <v>33</v>
      </c>
      <c r="O5" s="3" t="s">
        <v>24</v>
      </c>
      <c r="P5" s="2" t="b">
        <v>1</v>
      </c>
      <c r="Q5" s="4">
        <v>10.0</v>
      </c>
    </row>
    <row r="6" ht="22.5" customHeight="1">
      <c r="A6" s="2" t="s">
        <v>48</v>
      </c>
      <c r="B6" s="2" t="s">
        <v>49</v>
      </c>
      <c r="C6" s="2" t="s">
        <v>17</v>
      </c>
      <c r="D6" s="2" t="s">
        <v>55</v>
      </c>
      <c r="E6" s="3" t="s">
        <v>323</v>
      </c>
      <c r="F6" s="4">
        <v>1.0</v>
      </c>
      <c r="G6" s="3" t="s">
        <v>18</v>
      </c>
      <c r="H6" s="3" t="b">
        <v>0</v>
      </c>
      <c r="I6" s="3" t="b">
        <v>0</v>
      </c>
      <c r="J6" s="3" t="s">
        <v>19</v>
      </c>
      <c r="K6" s="2" t="s">
        <v>324</v>
      </c>
      <c r="L6" s="2" t="s">
        <v>50</v>
      </c>
      <c r="M6" s="2" t="s">
        <v>51</v>
      </c>
      <c r="N6" s="2" t="s">
        <v>52</v>
      </c>
      <c r="O6" s="3" t="s">
        <v>24</v>
      </c>
      <c r="P6" s="2" t="b">
        <v>1</v>
      </c>
      <c r="Q6" s="4">
        <v>10.0</v>
      </c>
    </row>
    <row r="7" ht="22.5" customHeight="1">
      <c r="A7" s="2" t="s">
        <v>57</v>
      </c>
      <c r="B7" s="2" t="s">
        <v>58</v>
      </c>
      <c r="C7" s="2" t="s">
        <v>17</v>
      </c>
      <c r="D7" s="2" t="s">
        <v>60</v>
      </c>
      <c r="E7" s="3" t="s">
        <v>323</v>
      </c>
      <c r="F7" s="4">
        <v>1.0</v>
      </c>
      <c r="G7" s="3" t="s">
        <v>18</v>
      </c>
      <c r="H7" s="3" t="b">
        <v>0</v>
      </c>
      <c r="I7" s="3" t="b">
        <v>0</v>
      </c>
      <c r="J7" s="3" t="s">
        <v>19</v>
      </c>
      <c r="K7" s="2" t="s">
        <v>324</v>
      </c>
      <c r="L7" s="2" t="s">
        <v>50</v>
      </c>
      <c r="M7" s="2" t="s">
        <v>51</v>
      </c>
      <c r="N7" s="2" t="s">
        <v>52</v>
      </c>
      <c r="O7" s="3" t="s">
        <v>24</v>
      </c>
      <c r="P7" s="2" t="b">
        <v>1</v>
      </c>
      <c r="Q7" s="4">
        <v>10.0</v>
      </c>
    </row>
    <row r="8" ht="22.5" customHeight="1">
      <c r="A8" s="2" t="s">
        <v>62</v>
      </c>
      <c r="B8" s="2" t="s">
        <v>63</v>
      </c>
      <c r="C8" s="2" t="s">
        <v>17</v>
      </c>
      <c r="D8" s="2" t="s">
        <v>66</v>
      </c>
      <c r="E8" s="3" t="s">
        <v>323</v>
      </c>
      <c r="F8" s="4">
        <v>1.0</v>
      </c>
      <c r="G8" s="3" t="s">
        <v>18</v>
      </c>
      <c r="H8" s="3" t="b">
        <v>0</v>
      </c>
      <c r="I8" s="3" t="b">
        <v>0</v>
      </c>
      <c r="J8" s="3" t="s">
        <v>19</v>
      </c>
      <c r="K8" s="2" t="s">
        <v>324</v>
      </c>
      <c r="L8" s="2" t="s">
        <v>50</v>
      </c>
      <c r="M8" s="2" t="s">
        <v>51</v>
      </c>
      <c r="N8" s="2" t="s">
        <v>52</v>
      </c>
      <c r="O8" s="3" t="s">
        <v>24</v>
      </c>
      <c r="P8" s="2" t="b">
        <v>1</v>
      </c>
      <c r="Q8" s="4">
        <v>10.0</v>
      </c>
    </row>
    <row r="9" ht="22.5" customHeight="1">
      <c r="A9" s="2" t="s">
        <v>68</v>
      </c>
      <c r="B9" s="2" t="s">
        <v>69</v>
      </c>
      <c r="C9" s="2" t="s">
        <v>17</v>
      </c>
      <c r="D9" s="2" t="s">
        <v>71</v>
      </c>
      <c r="E9" s="3" t="s">
        <v>323</v>
      </c>
      <c r="F9" s="4">
        <v>1.0</v>
      </c>
      <c r="G9" s="3" t="s">
        <v>18</v>
      </c>
      <c r="H9" s="3" t="b">
        <v>0</v>
      </c>
      <c r="I9" s="3" t="b">
        <v>0</v>
      </c>
      <c r="J9" s="3" t="s">
        <v>19</v>
      </c>
      <c r="K9" s="2" t="s">
        <v>324</v>
      </c>
      <c r="L9" s="2" t="s">
        <v>50</v>
      </c>
      <c r="M9" s="2" t="s">
        <v>51</v>
      </c>
      <c r="N9" s="2" t="s">
        <v>52</v>
      </c>
      <c r="O9" s="3" t="s">
        <v>24</v>
      </c>
      <c r="P9" s="2" t="b">
        <v>1</v>
      </c>
      <c r="Q9" s="4">
        <v>10.0</v>
      </c>
    </row>
    <row r="10" ht="22.5" customHeight="1">
      <c r="A10" s="2" t="s">
        <v>73</v>
      </c>
      <c r="B10" s="2" t="s">
        <v>74</v>
      </c>
      <c r="C10" s="2" t="s">
        <v>17</v>
      </c>
      <c r="D10" s="2" t="s">
        <v>81</v>
      </c>
      <c r="E10" s="3" t="s">
        <v>323</v>
      </c>
      <c r="F10" s="4">
        <v>1.0</v>
      </c>
      <c r="G10" s="3" t="s">
        <v>18</v>
      </c>
      <c r="H10" s="3" t="b">
        <v>0</v>
      </c>
      <c r="I10" s="3" t="b">
        <v>0</v>
      </c>
      <c r="J10" s="3" t="s">
        <v>19</v>
      </c>
      <c r="K10" s="2" t="s">
        <v>324</v>
      </c>
      <c r="L10" s="2" t="s">
        <v>75</v>
      </c>
      <c r="M10" s="2" t="s">
        <v>76</v>
      </c>
      <c r="N10" s="2" t="s">
        <v>77</v>
      </c>
      <c r="O10" s="3" t="s">
        <v>78</v>
      </c>
      <c r="P10" s="2" t="b">
        <v>1</v>
      </c>
      <c r="Q10" s="4">
        <v>10.0</v>
      </c>
    </row>
    <row r="11" ht="22.5" customHeight="1">
      <c r="A11" s="2" t="s">
        <v>83</v>
      </c>
      <c r="B11" s="2" t="s">
        <v>84</v>
      </c>
      <c r="C11" s="2" t="s">
        <v>85</v>
      </c>
      <c r="D11" s="2" t="s">
        <v>92</v>
      </c>
      <c r="E11" s="3" t="s">
        <v>321</v>
      </c>
      <c r="F11" s="4">
        <v>0.0</v>
      </c>
      <c r="G11" s="3" t="s">
        <v>86</v>
      </c>
      <c r="H11" s="3" t="b">
        <v>1</v>
      </c>
      <c r="I11" s="3" t="b">
        <v>1</v>
      </c>
      <c r="J11" s="3" t="s">
        <v>87</v>
      </c>
      <c r="K11" s="2" t="s">
        <v>325</v>
      </c>
      <c r="L11" s="2" t="s">
        <v>75</v>
      </c>
      <c r="M11" s="2" t="s">
        <v>76</v>
      </c>
      <c r="N11" s="2" t="s">
        <v>89</v>
      </c>
      <c r="O11" s="3" t="s">
        <v>78</v>
      </c>
      <c r="P11" s="2" t="b">
        <v>1</v>
      </c>
      <c r="Q11" s="4">
        <v>10.0</v>
      </c>
    </row>
    <row r="12" ht="22.5" customHeight="1">
      <c r="A12" s="2" t="s">
        <v>94</v>
      </c>
      <c r="B12" s="2" t="s">
        <v>95</v>
      </c>
      <c r="C12" s="2" t="s">
        <v>17</v>
      </c>
      <c r="D12" s="2" t="s">
        <v>99</v>
      </c>
      <c r="E12" s="3" t="s">
        <v>321</v>
      </c>
      <c r="F12" s="4">
        <v>0.0</v>
      </c>
      <c r="G12" s="3" t="s">
        <v>18</v>
      </c>
      <c r="H12" s="3" t="b">
        <v>0</v>
      </c>
      <c r="I12" s="3" t="b">
        <v>0</v>
      </c>
      <c r="J12" s="3" t="s">
        <v>87</v>
      </c>
      <c r="K12" s="2" t="s">
        <v>322</v>
      </c>
      <c r="L12" s="2" t="s">
        <v>75</v>
      </c>
      <c r="M12" s="2" t="s">
        <v>76</v>
      </c>
      <c r="N12" s="2" t="s">
        <v>96</v>
      </c>
      <c r="O12" s="3" t="s">
        <v>78</v>
      </c>
      <c r="P12" s="2" t="b">
        <v>1</v>
      </c>
      <c r="Q12" s="4">
        <v>10.0</v>
      </c>
    </row>
    <row r="13" ht="22.5" customHeight="1">
      <c r="A13" s="2" t="s">
        <v>101</v>
      </c>
      <c r="B13" s="2" t="s">
        <v>102</v>
      </c>
      <c r="C13" s="2" t="s">
        <v>17</v>
      </c>
      <c r="D13" s="2" t="s">
        <v>107</v>
      </c>
      <c r="E13" s="3" t="s">
        <v>323</v>
      </c>
      <c r="F13" s="4">
        <v>1.0</v>
      </c>
      <c r="G13" s="3" t="s">
        <v>18</v>
      </c>
      <c r="H13" s="3" t="b">
        <v>0</v>
      </c>
      <c r="I13" s="3" t="b">
        <v>0</v>
      </c>
      <c r="J13" s="3" t="s">
        <v>31</v>
      </c>
      <c r="K13" s="2" t="s">
        <v>324</v>
      </c>
      <c r="L13" s="2" t="s">
        <v>75</v>
      </c>
      <c r="M13" s="2" t="s">
        <v>76</v>
      </c>
      <c r="N13" s="2" t="s">
        <v>104</v>
      </c>
      <c r="O13" s="3" t="s">
        <v>78</v>
      </c>
      <c r="P13" s="2" t="b">
        <v>1</v>
      </c>
      <c r="Q13" s="4">
        <v>10.0</v>
      </c>
    </row>
    <row r="14" ht="22.5" customHeight="1">
      <c r="A14" s="2" t="s">
        <v>109</v>
      </c>
      <c r="B14" s="2" t="s">
        <v>110</v>
      </c>
      <c r="C14" s="2" t="s">
        <v>17</v>
      </c>
      <c r="D14" s="2" t="s">
        <v>114</v>
      </c>
      <c r="E14" s="3" t="s">
        <v>321</v>
      </c>
      <c r="F14" s="4">
        <v>0.0</v>
      </c>
      <c r="G14" s="3" t="s">
        <v>18</v>
      </c>
      <c r="H14" s="3" t="b">
        <v>0</v>
      </c>
      <c r="I14" s="3" t="b">
        <v>0</v>
      </c>
      <c r="J14" s="3" t="s">
        <v>31</v>
      </c>
      <c r="K14" s="2" t="s">
        <v>322</v>
      </c>
      <c r="L14" s="2" t="s">
        <v>75</v>
      </c>
      <c r="M14" s="2" t="s">
        <v>76</v>
      </c>
      <c r="N14" s="2" t="s">
        <v>111</v>
      </c>
      <c r="O14" s="3" t="s">
        <v>78</v>
      </c>
      <c r="P14" s="2" t="b">
        <v>1</v>
      </c>
      <c r="Q14" s="4">
        <v>10.0</v>
      </c>
    </row>
    <row r="15" ht="22.5" customHeight="1">
      <c r="A15" s="2" t="s">
        <v>116</v>
      </c>
      <c r="B15" s="2" t="s">
        <v>117</v>
      </c>
      <c r="C15" s="2" t="s">
        <v>17</v>
      </c>
      <c r="D15" s="2" t="s">
        <v>119</v>
      </c>
      <c r="E15" s="3" t="s">
        <v>321</v>
      </c>
      <c r="F15" s="4">
        <v>0.0</v>
      </c>
      <c r="G15" s="3" t="s">
        <v>18</v>
      </c>
      <c r="H15" s="3" t="b">
        <v>0</v>
      </c>
      <c r="I15" s="3" t="b">
        <v>0</v>
      </c>
      <c r="J15" s="3" t="s">
        <v>87</v>
      </c>
      <c r="K15" s="2" t="s">
        <v>322</v>
      </c>
      <c r="L15" s="2" t="s">
        <v>75</v>
      </c>
      <c r="M15" s="2" t="s">
        <v>76</v>
      </c>
      <c r="N15" s="2" t="s">
        <v>111</v>
      </c>
      <c r="O15" s="3" t="s">
        <v>78</v>
      </c>
      <c r="P15" s="2" t="b">
        <v>1</v>
      </c>
      <c r="Q15" s="4">
        <v>10.0</v>
      </c>
    </row>
    <row r="16" ht="22.5" customHeight="1">
      <c r="A16" s="2" t="s">
        <v>121</v>
      </c>
      <c r="B16" s="2" t="s">
        <v>122</v>
      </c>
      <c r="C16" s="2">
        <v>1.0</v>
      </c>
      <c r="D16" s="2" t="s">
        <v>127</v>
      </c>
      <c r="E16" s="3" t="s">
        <v>321</v>
      </c>
      <c r="F16" s="4">
        <v>0.05</v>
      </c>
      <c r="G16" s="3" t="s">
        <v>18</v>
      </c>
      <c r="H16" s="3" t="b">
        <v>1</v>
      </c>
      <c r="I16" s="3" t="b">
        <v>1</v>
      </c>
      <c r="J16" s="3" t="s">
        <v>123</v>
      </c>
      <c r="K16" s="2" t="s">
        <v>326</v>
      </c>
      <c r="L16" s="2" t="s">
        <v>75</v>
      </c>
      <c r="M16" s="2" t="s">
        <v>76</v>
      </c>
      <c r="N16" s="2" t="s">
        <v>125</v>
      </c>
      <c r="O16" s="3" t="s">
        <v>78</v>
      </c>
      <c r="P16" s="2" t="b">
        <v>1</v>
      </c>
      <c r="Q16" s="4">
        <v>10.0</v>
      </c>
    </row>
    <row r="17" ht="22.5" customHeight="1">
      <c r="A17" s="2" t="s">
        <v>129</v>
      </c>
      <c r="B17" s="2" t="s">
        <v>130</v>
      </c>
      <c r="C17" s="2" t="s">
        <v>17</v>
      </c>
      <c r="D17" s="2" t="s">
        <v>133</v>
      </c>
      <c r="E17" s="3" t="s">
        <v>323</v>
      </c>
      <c r="F17" s="4">
        <v>1.0</v>
      </c>
      <c r="G17" s="3" t="s">
        <v>18</v>
      </c>
      <c r="H17" s="3" t="b">
        <v>0</v>
      </c>
      <c r="I17" s="3" t="b">
        <v>0</v>
      </c>
      <c r="J17" s="3" t="s">
        <v>31</v>
      </c>
      <c r="K17" s="2" t="s">
        <v>324</v>
      </c>
      <c r="L17" s="2" t="s">
        <v>75</v>
      </c>
      <c r="M17" s="2" t="s">
        <v>76</v>
      </c>
      <c r="N17" s="2" t="s">
        <v>125</v>
      </c>
      <c r="O17" s="3" t="s">
        <v>78</v>
      </c>
      <c r="P17" s="2" t="b">
        <v>1</v>
      </c>
      <c r="Q17" s="4">
        <v>10.0</v>
      </c>
    </row>
    <row r="18" ht="22.5" customHeight="1">
      <c r="A18" s="2" t="s">
        <v>135</v>
      </c>
      <c r="B18" s="2" t="s">
        <v>136</v>
      </c>
      <c r="C18" s="2" t="s">
        <v>17</v>
      </c>
      <c r="D18" s="2" t="s">
        <v>138</v>
      </c>
      <c r="E18" s="3" t="s">
        <v>321</v>
      </c>
      <c r="F18" s="4">
        <v>0.0</v>
      </c>
      <c r="G18" s="3" t="s">
        <v>18</v>
      </c>
      <c r="H18" s="3" t="b">
        <v>0</v>
      </c>
      <c r="I18" s="3" t="b">
        <v>0</v>
      </c>
      <c r="J18" s="3" t="s">
        <v>123</v>
      </c>
      <c r="K18" s="2" t="s">
        <v>322</v>
      </c>
      <c r="L18" s="2" t="s">
        <v>75</v>
      </c>
      <c r="M18" s="2" t="s">
        <v>76</v>
      </c>
      <c r="N18" s="2" t="s">
        <v>89</v>
      </c>
      <c r="O18" s="3" t="s">
        <v>78</v>
      </c>
      <c r="P18" s="2" t="b">
        <v>1</v>
      </c>
      <c r="Q18" s="4">
        <v>10.0</v>
      </c>
    </row>
    <row r="19" ht="22.5" customHeight="1">
      <c r="A19" s="2" t="s">
        <v>140</v>
      </c>
      <c r="B19" s="2" t="s">
        <v>141</v>
      </c>
      <c r="C19" s="2" t="s">
        <v>17</v>
      </c>
      <c r="D19" s="2" t="s">
        <v>145</v>
      </c>
      <c r="E19" s="3" t="s">
        <v>321</v>
      </c>
      <c r="F19" s="4">
        <v>0.0</v>
      </c>
      <c r="G19" s="3" t="s">
        <v>18</v>
      </c>
      <c r="H19" s="3" t="b">
        <v>0</v>
      </c>
      <c r="I19" s="3" t="b">
        <v>0</v>
      </c>
      <c r="J19" s="3" t="s">
        <v>19</v>
      </c>
      <c r="K19" s="2" t="s">
        <v>322</v>
      </c>
      <c r="L19" s="2" t="s">
        <v>75</v>
      </c>
      <c r="M19" s="2" t="s">
        <v>76</v>
      </c>
      <c r="N19" s="2" t="s">
        <v>125</v>
      </c>
      <c r="O19" s="3" t="s">
        <v>78</v>
      </c>
      <c r="P19" s="2" t="b">
        <v>1</v>
      </c>
      <c r="Q19" s="4">
        <v>10.0</v>
      </c>
    </row>
    <row r="20" ht="22.5" customHeight="1">
      <c r="A20" s="2" t="s">
        <v>147</v>
      </c>
      <c r="B20" s="2" t="s">
        <v>148</v>
      </c>
      <c r="C20" s="2" t="s">
        <v>17</v>
      </c>
      <c r="D20" s="2" t="s">
        <v>151</v>
      </c>
      <c r="E20" s="3" t="s">
        <v>321</v>
      </c>
      <c r="F20" s="4">
        <v>0.0</v>
      </c>
      <c r="G20" s="3" t="s">
        <v>18</v>
      </c>
      <c r="H20" s="3" t="b">
        <v>0</v>
      </c>
      <c r="I20" s="3" t="b">
        <v>0</v>
      </c>
      <c r="J20" s="3" t="s">
        <v>87</v>
      </c>
      <c r="K20" s="2" t="s">
        <v>322</v>
      </c>
      <c r="L20" s="2" t="s">
        <v>75</v>
      </c>
      <c r="M20" s="2" t="s">
        <v>76</v>
      </c>
      <c r="N20" s="2" t="s">
        <v>125</v>
      </c>
      <c r="O20" s="3" t="s">
        <v>78</v>
      </c>
      <c r="P20" s="2" t="b">
        <v>1</v>
      </c>
      <c r="Q20" s="4">
        <v>10.0</v>
      </c>
    </row>
    <row r="21" ht="22.5" customHeight="1">
      <c r="A21" s="2" t="s">
        <v>153</v>
      </c>
      <c r="B21" s="2" t="s">
        <v>154</v>
      </c>
      <c r="C21" s="2" t="s">
        <v>17</v>
      </c>
      <c r="D21" s="2" t="s">
        <v>159</v>
      </c>
      <c r="E21" s="3" t="s">
        <v>321</v>
      </c>
      <c r="F21" s="4">
        <v>0.0</v>
      </c>
      <c r="G21" s="3" t="s">
        <v>18</v>
      </c>
      <c r="H21" s="3" t="b">
        <v>0</v>
      </c>
      <c r="I21" s="3" t="b">
        <v>0</v>
      </c>
      <c r="J21" s="3" t="s">
        <v>87</v>
      </c>
      <c r="K21" s="2" t="s">
        <v>322</v>
      </c>
      <c r="L21" s="2" t="s">
        <v>75</v>
      </c>
      <c r="M21" s="2" t="s">
        <v>76</v>
      </c>
      <c r="N21" s="2" t="s">
        <v>156</v>
      </c>
      <c r="O21" s="3" t="s">
        <v>78</v>
      </c>
      <c r="P21" s="2" t="b">
        <v>1</v>
      </c>
      <c r="Q21" s="4">
        <v>10.0</v>
      </c>
    </row>
    <row r="22" ht="22.5" customHeight="1">
      <c r="A22" s="2" t="s">
        <v>161</v>
      </c>
      <c r="B22" s="2" t="s">
        <v>162</v>
      </c>
      <c r="C22" s="2" t="s">
        <v>17</v>
      </c>
      <c r="D22" s="2" t="s">
        <v>167</v>
      </c>
      <c r="E22" s="3" t="s">
        <v>321</v>
      </c>
      <c r="F22" s="4">
        <v>0.0</v>
      </c>
      <c r="G22" s="3" t="s">
        <v>18</v>
      </c>
      <c r="H22" s="3" t="b">
        <v>0</v>
      </c>
      <c r="I22" s="3" t="b">
        <v>0</v>
      </c>
      <c r="J22" s="3" t="s">
        <v>163</v>
      </c>
      <c r="K22" s="2" t="s">
        <v>322</v>
      </c>
      <c r="L22" s="2" t="s">
        <v>75</v>
      </c>
      <c r="M22" s="2" t="s">
        <v>76</v>
      </c>
      <c r="N22" s="2" t="s">
        <v>125</v>
      </c>
      <c r="O22" s="3" t="s">
        <v>78</v>
      </c>
      <c r="P22" s="2" t="b">
        <v>1</v>
      </c>
      <c r="Q22" s="4">
        <v>10.0</v>
      </c>
    </row>
    <row r="23" ht="22.5" customHeight="1">
      <c r="A23" s="2" t="s">
        <v>169</v>
      </c>
      <c r="B23" s="2" t="s">
        <v>170</v>
      </c>
      <c r="C23" s="2" t="s">
        <v>17</v>
      </c>
      <c r="D23" s="2" t="s">
        <v>174</v>
      </c>
      <c r="E23" s="3" t="s">
        <v>321</v>
      </c>
      <c r="F23" s="4">
        <v>0.0</v>
      </c>
      <c r="G23" s="3" t="s">
        <v>18</v>
      </c>
      <c r="H23" s="3" t="b">
        <v>0</v>
      </c>
      <c r="I23" s="3" t="b">
        <v>0</v>
      </c>
      <c r="J23" s="3" t="s">
        <v>87</v>
      </c>
      <c r="K23" s="2" t="s">
        <v>322</v>
      </c>
      <c r="L23" s="2" t="s">
        <v>172</v>
      </c>
      <c r="M23" s="2" t="s">
        <v>51</v>
      </c>
      <c r="N23" s="2" t="s">
        <v>33</v>
      </c>
      <c r="O23" s="3" t="s">
        <v>24</v>
      </c>
      <c r="P23" s="2" t="b">
        <v>1</v>
      </c>
      <c r="Q23" s="4">
        <v>10.0</v>
      </c>
    </row>
    <row r="24" ht="22.5" customHeight="1">
      <c r="A24" s="2" t="s">
        <v>176</v>
      </c>
      <c r="B24" s="2" t="s">
        <v>177</v>
      </c>
      <c r="C24" s="2" t="s">
        <v>17</v>
      </c>
      <c r="D24" s="2" t="s">
        <v>180</v>
      </c>
      <c r="E24" s="3" t="s">
        <v>321</v>
      </c>
      <c r="F24" s="4">
        <v>0.0</v>
      </c>
      <c r="G24" s="3" t="s">
        <v>18</v>
      </c>
      <c r="H24" s="3" t="b">
        <v>0</v>
      </c>
      <c r="I24" s="3" t="b">
        <v>0</v>
      </c>
      <c r="J24" s="3" t="s">
        <v>87</v>
      </c>
      <c r="K24" s="2" t="s">
        <v>322</v>
      </c>
      <c r="L24" s="2" t="s">
        <v>172</v>
      </c>
      <c r="M24" s="2" t="s">
        <v>51</v>
      </c>
      <c r="N24" s="2" t="s">
        <v>178</v>
      </c>
      <c r="O24" s="3" t="s">
        <v>24</v>
      </c>
      <c r="P24" s="2" t="b">
        <v>1</v>
      </c>
      <c r="Q24" s="4">
        <v>10.0</v>
      </c>
    </row>
    <row r="25" ht="22.5" customHeight="1">
      <c r="A25" s="2" t="s">
        <v>182</v>
      </c>
      <c r="B25" s="2" t="s">
        <v>183</v>
      </c>
      <c r="C25" s="2" t="s">
        <v>17</v>
      </c>
      <c r="D25" s="2" t="s">
        <v>186</v>
      </c>
      <c r="E25" s="3" t="s">
        <v>321</v>
      </c>
      <c r="F25" s="4">
        <v>0.0</v>
      </c>
      <c r="G25" s="3" t="s">
        <v>18</v>
      </c>
      <c r="H25" s="3" t="b">
        <v>0</v>
      </c>
      <c r="I25" s="3" t="b">
        <v>0</v>
      </c>
      <c r="J25" s="3" t="s">
        <v>87</v>
      </c>
      <c r="K25" s="2" t="s">
        <v>322</v>
      </c>
      <c r="L25" s="2" t="s">
        <v>172</v>
      </c>
      <c r="M25" s="2" t="s">
        <v>51</v>
      </c>
      <c r="N25" s="2" t="s">
        <v>23</v>
      </c>
      <c r="O25" s="3" t="s">
        <v>24</v>
      </c>
      <c r="P25" s="2" t="b">
        <v>1</v>
      </c>
      <c r="Q25" s="4">
        <v>10.0</v>
      </c>
    </row>
    <row r="26" ht="22.5" customHeight="1">
      <c r="A26" s="2" t="s">
        <v>188</v>
      </c>
      <c r="B26" s="2" t="s">
        <v>189</v>
      </c>
      <c r="C26" s="2" t="s">
        <v>17</v>
      </c>
      <c r="D26" s="2" t="s">
        <v>196</v>
      </c>
      <c r="E26" s="3" t="s">
        <v>321</v>
      </c>
      <c r="F26" s="4">
        <v>0.0</v>
      </c>
      <c r="G26" s="3" t="s">
        <v>18</v>
      </c>
      <c r="H26" s="3" t="b">
        <v>0</v>
      </c>
      <c r="I26" s="3" t="b">
        <v>0</v>
      </c>
      <c r="J26" s="3" t="s">
        <v>87</v>
      </c>
      <c r="K26" s="2" t="s">
        <v>322</v>
      </c>
      <c r="L26" s="2" t="s">
        <v>190</v>
      </c>
      <c r="M26" s="2" t="s">
        <v>191</v>
      </c>
      <c r="N26" s="2" t="s">
        <v>192</v>
      </c>
      <c r="O26" s="3" t="s">
        <v>193</v>
      </c>
      <c r="P26" s="2" t="b">
        <v>1</v>
      </c>
      <c r="Q26" s="4">
        <v>10.0</v>
      </c>
    </row>
    <row r="27" ht="22.5" customHeight="1">
      <c r="A27" s="2" t="s">
        <v>198</v>
      </c>
      <c r="B27" s="2" t="s">
        <v>199</v>
      </c>
      <c r="C27" s="2" t="s">
        <v>17</v>
      </c>
      <c r="D27" s="2" t="s">
        <v>201</v>
      </c>
      <c r="E27" s="3" t="s">
        <v>321</v>
      </c>
      <c r="F27" s="4">
        <v>0.0</v>
      </c>
      <c r="G27" s="3" t="s">
        <v>18</v>
      </c>
      <c r="H27" s="3" t="b">
        <v>0</v>
      </c>
      <c r="I27" s="3" t="b">
        <v>0</v>
      </c>
      <c r="J27" s="3" t="s">
        <v>87</v>
      </c>
      <c r="K27" s="2" t="s">
        <v>322</v>
      </c>
      <c r="L27" s="2" t="s">
        <v>190</v>
      </c>
      <c r="M27" s="2" t="s">
        <v>191</v>
      </c>
      <c r="N27" s="2" t="s">
        <v>192</v>
      </c>
      <c r="O27" s="3" t="s">
        <v>193</v>
      </c>
      <c r="P27" s="2" t="b">
        <v>1</v>
      </c>
      <c r="Q27" s="4">
        <v>10.0</v>
      </c>
    </row>
    <row r="28" ht="22.5" customHeight="1">
      <c r="A28" s="2" t="s">
        <v>203</v>
      </c>
      <c r="B28" s="2" t="s">
        <v>204</v>
      </c>
      <c r="C28" s="2">
        <v>79000.0</v>
      </c>
      <c r="D28" s="2" t="s">
        <v>209</v>
      </c>
      <c r="E28" s="3" t="s">
        <v>321</v>
      </c>
      <c r="F28" s="4">
        <v>0.05</v>
      </c>
      <c r="G28" s="3" t="s">
        <v>86</v>
      </c>
      <c r="H28" s="3" t="b">
        <v>1</v>
      </c>
      <c r="I28" s="3" t="b">
        <v>1</v>
      </c>
      <c r="J28" s="3" t="s">
        <v>19</v>
      </c>
      <c r="K28" s="2" t="s">
        <v>327</v>
      </c>
      <c r="L28" s="2" t="s">
        <v>190</v>
      </c>
      <c r="M28" s="2" t="s">
        <v>191</v>
      </c>
      <c r="N28" s="2" t="s">
        <v>206</v>
      </c>
      <c r="O28" s="3" t="s">
        <v>193</v>
      </c>
      <c r="P28" s="2" t="b">
        <v>1</v>
      </c>
      <c r="Q28" s="4">
        <v>10.0</v>
      </c>
    </row>
    <row r="29" ht="22.5" customHeight="1">
      <c r="A29" s="2" t="s">
        <v>211</v>
      </c>
      <c r="B29" s="2" t="s">
        <v>212</v>
      </c>
      <c r="C29" s="2" t="s">
        <v>17</v>
      </c>
      <c r="D29" s="2" t="s">
        <v>209</v>
      </c>
      <c r="E29" s="3" t="s">
        <v>321</v>
      </c>
      <c r="F29" s="4">
        <v>0.0</v>
      </c>
      <c r="G29" s="3" t="s">
        <v>18</v>
      </c>
      <c r="H29" s="3" t="b">
        <v>0</v>
      </c>
      <c r="I29" s="3" t="b">
        <v>0</v>
      </c>
      <c r="J29" s="3" t="s">
        <v>87</v>
      </c>
      <c r="K29" s="2" t="s">
        <v>322</v>
      </c>
      <c r="L29" s="2" t="s">
        <v>190</v>
      </c>
      <c r="M29" s="2" t="s">
        <v>191</v>
      </c>
      <c r="N29" s="2" t="s">
        <v>206</v>
      </c>
      <c r="O29" s="3" t="s">
        <v>193</v>
      </c>
      <c r="P29" s="2" t="b">
        <v>1</v>
      </c>
      <c r="Q29" s="4">
        <v>10.0</v>
      </c>
    </row>
    <row r="30" ht="22.5" customHeight="1">
      <c r="A30" s="2" t="s">
        <v>217</v>
      </c>
      <c r="B30" s="2" t="s">
        <v>218</v>
      </c>
      <c r="C30" s="2" t="s">
        <v>17</v>
      </c>
      <c r="D30" s="2" t="s">
        <v>222</v>
      </c>
      <c r="E30" s="3" t="s">
        <v>321</v>
      </c>
      <c r="F30" s="4">
        <v>0.0</v>
      </c>
      <c r="G30" s="3" t="s">
        <v>18</v>
      </c>
      <c r="H30" s="3" t="b">
        <v>0</v>
      </c>
      <c r="I30" s="3" t="b">
        <v>0</v>
      </c>
      <c r="J30" s="3" t="s">
        <v>87</v>
      </c>
      <c r="K30" s="2" t="s">
        <v>322</v>
      </c>
      <c r="L30" s="2" t="s">
        <v>190</v>
      </c>
      <c r="M30" s="2" t="s">
        <v>191</v>
      </c>
      <c r="N30" s="2" t="s">
        <v>192</v>
      </c>
      <c r="O30" s="3" t="s">
        <v>193</v>
      </c>
      <c r="P30" s="2" t="b">
        <v>1</v>
      </c>
      <c r="Q30" s="4">
        <v>10.0</v>
      </c>
    </row>
    <row r="31" ht="22.5" customHeight="1">
      <c r="A31" s="2" t="s">
        <v>224</v>
      </c>
      <c r="B31" s="2" t="s">
        <v>225</v>
      </c>
      <c r="C31" s="2" t="s">
        <v>17</v>
      </c>
      <c r="D31" s="2" t="s">
        <v>232</v>
      </c>
      <c r="E31" s="3" t="s">
        <v>321</v>
      </c>
      <c r="F31" s="4">
        <v>0.0</v>
      </c>
      <c r="G31" s="3" t="s">
        <v>18</v>
      </c>
      <c r="H31" s="3" t="b">
        <v>0</v>
      </c>
      <c r="I31" s="3" t="b">
        <v>0</v>
      </c>
      <c r="J31" s="3" t="s">
        <v>19</v>
      </c>
      <c r="K31" s="2" t="s">
        <v>322</v>
      </c>
      <c r="L31" s="2" t="s">
        <v>227</v>
      </c>
      <c r="M31" s="2" t="s">
        <v>191</v>
      </c>
      <c r="N31" s="2" t="s">
        <v>228</v>
      </c>
      <c r="O31" s="3" t="s">
        <v>229</v>
      </c>
      <c r="P31" s="2" t="b">
        <v>1</v>
      </c>
      <c r="Q31" s="4">
        <v>10.0</v>
      </c>
    </row>
    <row r="32" ht="22.5" customHeight="1">
      <c r="A32" s="2" t="s">
        <v>234</v>
      </c>
      <c r="B32" s="2" t="s">
        <v>235</v>
      </c>
      <c r="C32" s="2" t="s">
        <v>17</v>
      </c>
      <c r="D32" s="2" t="s">
        <v>238</v>
      </c>
      <c r="E32" s="3" t="s">
        <v>321</v>
      </c>
      <c r="F32" s="4">
        <v>0.0</v>
      </c>
      <c r="G32" s="3" t="s">
        <v>18</v>
      </c>
      <c r="H32" s="3" t="b">
        <v>0</v>
      </c>
      <c r="I32" s="3" t="b">
        <v>0</v>
      </c>
      <c r="J32" s="3" t="s">
        <v>19</v>
      </c>
      <c r="K32" s="2" t="s">
        <v>322</v>
      </c>
      <c r="L32" s="2" t="s">
        <v>227</v>
      </c>
      <c r="M32" s="2" t="s">
        <v>191</v>
      </c>
      <c r="N32" s="2" t="s">
        <v>228</v>
      </c>
      <c r="O32" s="3" t="s">
        <v>229</v>
      </c>
      <c r="P32" s="2" t="b">
        <v>1</v>
      </c>
      <c r="Q32" s="4">
        <v>10.0</v>
      </c>
    </row>
    <row r="33" ht="22.5" customHeight="1">
      <c r="A33" s="2" t="s">
        <v>240</v>
      </c>
      <c r="B33" s="2" t="s">
        <v>241</v>
      </c>
      <c r="C33" s="2">
        <v>2.07127905E8</v>
      </c>
      <c r="D33" s="2" t="s">
        <v>244</v>
      </c>
      <c r="E33" s="3" t="s">
        <v>321</v>
      </c>
      <c r="F33" s="4">
        <v>0.0</v>
      </c>
      <c r="G33" s="3" t="s">
        <v>86</v>
      </c>
      <c r="H33" s="3" t="b">
        <v>1</v>
      </c>
      <c r="I33" s="3" t="b">
        <v>1</v>
      </c>
      <c r="J33" s="3" t="s">
        <v>19</v>
      </c>
      <c r="K33" s="2" t="s">
        <v>328</v>
      </c>
      <c r="L33" s="2" t="s">
        <v>227</v>
      </c>
      <c r="M33" s="2" t="s">
        <v>191</v>
      </c>
      <c r="N33" s="2" t="s">
        <v>228</v>
      </c>
      <c r="O33" s="3" t="s">
        <v>229</v>
      </c>
      <c r="P33" s="2" t="b">
        <v>1</v>
      </c>
      <c r="Q33" s="4">
        <v>10.0</v>
      </c>
    </row>
    <row r="34" ht="22.5" customHeight="1">
      <c r="A34" s="2" t="s">
        <v>246</v>
      </c>
      <c r="B34" s="2" t="s">
        <v>247</v>
      </c>
      <c r="C34" s="2" t="s">
        <v>17</v>
      </c>
      <c r="D34" s="2" t="s">
        <v>249</v>
      </c>
      <c r="E34" s="3" t="s">
        <v>321</v>
      </c>
      <c r="F34" s="4">
        <v>0.0</v>
      </c>
      <c r="G34" s="3" t="s">
        <v>18</v>
      </c>
      <c r="H34" s="3" t="b">
        <v>0</v>
      </c>
      <c r="I34" s="3" t="b">
        <v>0</v>
      </c>
      <c r="J34" s="3" t="s">
        <v>19</v>
      </c>
      <c r="K34" s="2" t="s">
        <v>322</v>
      </c>
      <c r="L34" s="2" t="s">
        <v>227</v>
      </c>
      <c r="M34" s="2" t="s">
        <v>191</v>
      </c>
      <c r="N34" s="2" t="s">
        <v>228</v>
      </c>
      <c r="O34" s="3" t="s">
        <v>229</v>
      </c>
      <c r="P34" s="2" t="b">
        <v>1</v>
      </c>
      <c r="Q34" s="4">
        <v>10.0</v>
      </c>
    </row>
    <row r="35" ht="22.5" customHeight="1">
      <c r="A35" s="2" t="s">
        <v>251</v>
      </c>
      <c r="B35" s="2" t="s">
        <v>252</v>
      </c>
      <c r="C35" s="2" t="s">
        <v>17</v>
      </c>
      <c r="D35" s="2" t="s">
        <v>255</v>
      </c>
      <c r="E35" s="3" t="s">
        <v>321</v>
      </c>
      <c r="F35" s="4">
        <v>0.0</v>
      </c>
      <c r="G35" s="3" t="s">
        <v>18</v>
      </c>
      <c r="H35" s="3" t="b">
        <v>0</v>
      </c>
      <c r="I35" s="3" t="b">
        <v>0</v>
      </c>
      <c r="J35" s="3" t="s">
        <v>19</v>
      </c>
      <c r="K35" s="2" t="s">
        <v>322</v>
      </c>
      <c r="L35" s="2" t="s">
        <v>227</v>
      </c>
      <c r="M35" s="2" t="s">
        <v>191</v>
      </c>
      <c r="N35" s="2" t="s">
        <v>228</v>
      </c>
      <c r="O35" s="3" t="s">
        <v>229</v>
      </c>
      <c r="P35" s="2" t="b">
        <v>1</v>
      </c>
      <c r="Q35" s="4">
        <v>10.0</v>
      </c>
    </row>
    <row r="36" ht="22.5" customHeight="1">
      <c r="A36" s="2" t="s">
        <v>257</v>
      </c>
      <c r="B36" s="2" t="s">
        <v>258</v>
      </c>
      <c r="C36" s="2" t="s">
        <v>17</v>
      </c>
      <c r="D36" s="2" t="s">
        <v>262</v>
      </c>
      <c r="E36" s="3" t="s">
        <v>321</v>
      </c>
      <c r="F36" s="4">
        <v>0.0</v>
      </c>
      <c r="G36" s="3" t="s">
        <v>18</v>
      </c>
      <c r="H36" s="3" t="b">
        <v>0</v>
      </c>
      <c r="I36" s="3" t="b">
        <v>0</v>
      </c>
      <c r="J36" s="3" t="s">
        <v>87</v>
      </c>
      <c r="K36" s="2" t="s">
        <v>322</v>
      </c>
      <c r="L36" s="2" t="s">
        <v>190</v>
      </c>
      <c r="M36" s="2" t="s">
        <v>191</v>
      </c>
      <c r="N36" s="2" t="s">
        <v>259</v>
      </c>
      <c r="O36" s="3" t="s">
        <v>193</v>
      </c>
      <c r="P36" s="2" t="b">
        <v>1</v>
      </c>
      <c r="Q36" s="4">
        <v>10.0</v>
      </c>
    </row>
    <row r="37" ht="22.5" customHeight="1">
      <c r="A37" s="2" t="s">
        <v>264</v>
      </c>
      <c r="B37" s="2" t="s">
        <v>265</v>
      </c>
      <c r="C37" s="2" t="s">
        <v>17</v>
      </c>
      <c r="D37" s="2" t="s">
        <v>267</v>
      </c>
      <c r="E37" s="3" t="s">
        <v>321</v>
      </c>
      <c r="F37" s="4">
        <v>0.0</v>
      </c>
      <c r="G37" s="3" t="s">
        <v>18</v>
      </c>
      <c r="H37" s="3" t="b">
        <v>0</v>
      </c>
      <c r="I37" s="3" t="b">
        <v>0</v>
      </c>
      <c r="J37" s="3" t="s">
        <v>19</v>
      </c>
      <c r="K37" s="2" t="s">
        <v>322</v>
      </c>
      <c r="L37" s="2" t="s">
        <v>172</v>
      </c>
      <c r="M37" s="2" t="s">
        <v>51</v>
      </c>
      <c r="N37" s="2" t="s">
        <v>178</v>
      </c>
      <c r="O37" s="3" t="s">
        <v>24</v>
      </c>
      <c r="P37" s="2" t="b">
        <v>1</v>
      </c>
      <c r="Q37" s="4">
        <v>10.0</v>
      </c>
    </row>
    <row r="38" ht="22.5" customHeight="1">
      <c r="A38" s="2" t="s">
        <v>269</v>
      </c>
      <c r="B38" s="2" t="s">
        <v>270</v>
      </c>
      <c r="C38" s="2" t="s">
        <v>17</v>
      </c>
      <c r="D38" s="2" t="s">
        <v>277</v>
      </c>
      <c r="E38" s="3" t="s">
        <v>321</v>
      </c>
      <c r="F38" s="4">
        <v>0.0</v>
      </c>
      <c r="G38" s="3" t="s">
        <v>18</v>
      </c>
      <c r="H38" s="3" t="b">
        <v>0</v>
      </c>
      <c r="I38" s="3" t="b">
        <v>0</v>
      </c>
      <c r="J38" s="3" t="s">
        <v>87</v>
      </c>
      <c r="K38" s="2" t="s">
        <v>322</v>
      </c>
      <c r="L38" s="2" t="s">
        <v>272</v>
      </c>
      <c r="M38" s="2" t="s">
        <v>273</v>
      </c>
      <c r="N38" s="2" t="s">
        <v>274</v>
      </c>
      <c r="O38" s="3" t="s">
        <v>275</v>
      </c>
      <c r="P38" s="2" t="b">
        <v>1</v>
      </c>
      <c r="Q38" s="4">
        <v>10.0</v>
      </c>
    </row>
    <row r="39" ht="22.5" customHeight="1">
      <c r="A39" s="2" t="s">
        <v>279</v>
      </c>
      <c r="B39" s="2" t="s">
        <v>280</v>
      </c>
      <c r="C39" s="2" t="s">
        <v>17</v>
      </c>
      <c r="D39" s="2" t="s">
        <v>284</v>
      </c>
      <c r="E39" s="3" t="s">
        <v>321</v>
      </c>
      <c r="F39" s="4">
        <v>0.0</v>
      </c>
      <c r="G39" s="3" t="s">
        <v>18</v>
      </c>
      <c r="H39" s="3" t="b">
        <v>0</v>
      </c>
      <c r="I39" s="3" t="b">
        <v>0</v>
      </c>
      <c r="J39" s="3" t="s">
        <v>19</v>
      </c>
      <c r="K39" s="2" t="s">
        <v>322</v>
      </c>
      <c r="L39" s="2" t="s">
        <v>281</v>
      </c>
      <c r="M39" s="2" t="s">
        <v>22</v>
      </c>
      <c r="N39" s="2" t="s">
        <v>282</v>
      </c>
      <c r="O39" s="3" t="s">
        <v>275</v>
      </c>
      <c r="P39" s="2" t="b">
        <v>1</v>
      </c>
      <c r="Q39" s="4">
        <v>10.0</v>
      </c>
    </row>
    <row r="40" ht="22.5" customHeight="1">
      <c r="A40" s="2" t="s">
        <v>286</v>
      </c>
      <c r="B40" s="2" t="s">
        <v>287</v>
      </c>
      <c r="C40" s="2" t="s">
        <v>17</v>
      </c>
      <c r="D40" s="2" t="s">
        <v>290</v>
      </c>
      <c r="E40" s="3" t="s">
        <v>321</v>
      </c>
      <c r="F40" s="4">
        <v>0.0</v>
      </c>
      <c r="G40" s="3" t="s">
        <v>18</v>
      </c>
      <c r="H40" s="3" t="b">
        <v>0</v>
      </c>
      <c r="I40" s="3" t="b">
        <v>0</v>
      </c>
      <c r="J40" s="3" t="s">
        <v>19</v>
      </c>
      <c r="K40" s="2" t="s">
        <v>322</v>
      </c>
      <c r="L40" s="2" t="s">
        <v>21</v>
      </c>
      <c r="M40" s="2" t="s">
        <v>22</v>
      </c>
      <c r="N40" s="2" t="s">
        <v>282</v>
      </c>
      <c r="O40" s="3" t="s">
        <v>275</v>
      </c>
      <c r="P40" s="2" t="b">
        <v>1</v>
      </c>
      <c r="Q40" s="4">
        <v>10.0</v>
      </c>
    </row>
    <row r="41" ht="22.5" customHeight="1">
      <c r="A41" s="2" t="s">
        <v>292</v>
      </c>
      <c r="B41" s="2" t="s">
        <v>293</v>
      </c>
      <c r="C41" s="2" t="s">
        <v>17</v>
      </c>
      <c r="D41" s="2" t="s">
        <v>300</v>
      </c>
      <c r="E41" s="3" t="s">
        <v>321</v>
      </c>
      <c r="F41" s="4">
        <v>0.0</v>
      </c>
      <c r="G41" s="3" t="s">
        <v>18</v>
      </c>
      <c r="H41" s="3" t="b">
        <v>0</v>
      </c>
      <c r="I41" s="3" t="b">
        <v>0</v>
      </c>
      <c r="J41" s="3" t="s">
        <v>87</v>
      </c>
      <c r="K41" s="2" t="s">
        <v>322</v>
      </c>
      <c r="L41" s="2" t="s">
        <v>295</v>
      </c>
      <c r="M41" s="2" t="s">
        <v>296</v>
      </c>
      <c r="N41" s="2" t="s">
        <v>297</v>
      </c>
      <c r="O41" s="3" t="s">
        <v>298</v>
      </c>
      <c r="P41" s="2" t="b">
        <v>1</v>
      </c>
      <c r="Q41" s="4">
        <v>10.0</v>
      </c>
    </row>
    <row r="42" ht="22.5" customHeight="1">
      <c r="A42" s="2" t="s">
        <v>302</v>
      </c>
      <c r="B42" s="2" t="s">
        <v>303</v>
      </c>
      <c r="C42" s="2" t="s">
        <v>17</v>
      </c>
      <c r="D42" s="2" t="s">
        <v>306</v>
      </c>
      <c r="E42" s="3" t="s">
        <v>321</v>
      </c>
      <c r="F42" s="4">
        <v>0.0</v>
      </c>
      <c r="G42" s="3" t="s">
        <v>18</v>
      </c>
      <c r="H42" s="3" t="b">
        <v>0</v>
      </c>
      <c r="I42" s="3" t="b">
        <v>0</v>
      </c>
      <c r="J42" s="3" t="s">
        <v>87</v>
      </c>
      <c r="K42" s="2" t="s">
        <v>322</v>
      </c>
      <c r="L42" s="2" t="s">
        <v>295</v>
      </c>
      <c r="M42" s="2" t="s">
        <v>296</v>
      </c>
      <c r="N42" s="2" t="s">
        <v>297</v>
      </c>
      <c r="O42" s="3" t="s">
        <v>298</v>
      </c>
      <c r="P42" s="2" t="b">
        <v>1</v>
      </c>
      <c r="Q42" s="4">
        <v>10.0</v>
      </c>
    </row>
    <row r="43" ht="22.5" customHeight="1">
      <c r="A43" s="2" t="s">
        <v>308</v>
      </c>
      <c r="B43" s="2" t="s">
        <v>309</v>
      </c>
      <c r="C43" s="2" t="s">
        <v>17</v>
      </c>
      <c r="D43" s="2" t="s">
        <v>313</v>
      </c>
      <c r="E43" s="3" t="s">
        <v>321</v>
      </c>
      <c r="F43" s="4">
        <v>0.0</v>
      </c>
      <c r="G43" s="3" t="s">
        <v>18</v>
      </c>
      <c r="H43" s="3" t="b">
        <v>0</v>
      </c>
      <c r="I43" s="3" t="b">
        <v>0</v>
      </c>
      <c r="J43" s="3" t="s">
        <v>19</v>
      </c>
      <c r="K43" s="2" t="s">
        <v>322</v>
      </c>
      <c r="L43" s="2" t="s">
        <v>21</v>
      </c>
      <c r="M43" s="2" t="s">
        <v>22</v>
      </c>
      <c r="N43" s="2" t="s">
        <v>23</v>
      </c>
      <c r="O43" s="3" t="s">
        <v>24</v>
      </c>
      <c r="P43" s="2" t="b">
        <v>1</v>
      </c>
      <c r="Q43" s="4">
        <v>10.0</v>
      </c>
    </row>
  </sheetData>
  <dataValidations>
    <dataValidation type="list" allowBlank="1" showDropDown="1" showErrorMessage="1" sqref="O2:O43">
      <formula1>"Construction,Feedstock,Offtake,Offtaker,Technology,Overall"</formula1>
    </dataValidation>
    <dataValidation type="list" allowBlank="1" showDropDown="1" showErrorMessage="1" sqref="H2:H43">
      <formula1>"FALSE,TRUE"</formula1>
    </dataValidation>
    <dataValidation type="list" allowBlank="1" showDropDown="1" showErrorMessage="1" sqref="E2:E43">
      <formula1>"MISMATCH,EXACT_MATCH"</formula1>
    </dataValidation>
    <dataValidation type="custom" allowBlank="1" showDropDown="1" sqref="F2:F43 Q2:Q43">
      <formula1>AND(ISNUMBER(F2),(NOT(OR(NOT(ISERROR(DATEVALUE(F2))), AND(ISNUMBER(F2), LEFT(CELL("format", F2))="D")))))</formula1>
    </dataValidation>
    <dataValidation type="list" allowBlank="1" showDropDown="1" showErrorMessage="1" sqref="G2:G43">
      <formula1>"HIGH,MEDIUM"</formula1>
    </dataValidation>
    <dataValidation type="list" allowBlank="1" showDropDown="1" showErrorMessage="1" sqref="J2:J43">
      <formula1>"float,date,string,int,array"</formula1>
    </dataValidation>
    <dataValidation type="list" allowBlank="1" showDropDown="1" showErrorMessage="1" sqref="I2:I43">
      <formula1>"FALSE,TRUE"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9.13"/>
  </cols>
  <sheetData>
    <row r="1">
      <c r="A1" s="5" t="s">
        <v>329</v>
      </c>
      <c r="B1" s="5" t="s">
        <v>330</v>
      </c>
      <c r="C1" s="5" t="s">
        <v>331</v>
      </c>
    </row>
    <row r="2" hidden="1">
      <c r="A2" s="6" t="str">
        <f t="array" ref="A2:A27">TRANSPOSE(UNIQUE(Sheet1!1:1))</f>
        <v>datapoint</v>
      </c>
      <c r="B2" s="6" t="str">
        <f t="array" ref="B2:B27">TRANSPOSE(UNIQUE(Sheet2!1:1))</f>
        <v>datapoint</v>
      </c>
      <c r="C2" s="6" t="b">
        <f t="shared" ref="C2:C18" si="1">ISNUMBER(MATCH(B2,A:A,0))</f>
        <v>1</v>
      </c>
    </row>
    <row r="3" hidden="1">
      <c r="A3" s="6" t="s">
        <v>1</v>
      </c>
      <c r="B3" s="6" t="s">
        <v>1</v>
      </c>
      <c r="C3" s="6" t="b">
        <f t="shared" si="1"/>
        <v>1</v>
      </c>
    </row>
    <row r="4" hidden="1">
      <c r="A4" s="6" t="s">
        <v>2</v>
      </c>
      <c r="B4" s="6" t="s">
        <v>2</v>
      </c>
      <c r="C4" s="6" t="b">
        <f t="shared" si="1"/>
        <v>1</v>
      </c>
    </row>
    <row r="5" hidden="1">
      <c r="A5" s="6" t="s">
        <v>3</v>
      </c>
      <c r="B5" s="6" t="s">
        <v>12</v>
      </c>
      <c r="C5" s="6" t="b">
        <f t="shared" si="1"/>
        <v>1</v>
      </c>
    </row>
    <row r="6">
      <c r="A6" s="6" t="s">
        <v>4</v>
      </c>
      <c r="B6" s="6" t="s">
        <v>315</v>
      </c>
      <c r="C6" s="6" t="b">
        <f t="shared" si="1"/>
        <v>0</v>
      </c>
    </row>
    <row r="7">
      <c r="A7" s="6" t="s">
        <v>5</v>
      </c>
      <c r="B7" s="6" t="s">
        <v>316</v>
      </c>
      <c r="C7" s="6" t="b">
        <f t="shared" si="1"/>
        <v>0</v>
      </c>
    </row>
    <row r="8" hidden="1">
      <c r="A8" s="6" t="s">
        <v>6</v>
      </c>
      <c r="B8" s="6" t="s">
        <v>3</v>
      </c>
      <c r="C8" s="6" t="b">
        <f t="shared" si="1"/>
        <v>1</v>
      </c>
    </row>
    <row r="9">
      <c r="A9" s="6" t="s">
        <v>7</v>
      </c>
      <c r="B9" s="6" t="s">
        <v>317</v>
      </c>
      <c r="C9" s="6" t="b">
        <f t="shared" si="1"/>
        <v>0</v>
      </c>
    </row>
    <row r="10">
      <c r="A10" s="6" t="s">
        <v>8</v>
      </c>
      <c r="B10" s="6" t="s">
        <v>318</v>
      </c>
      <c r="C10" s="6" t="b">
        <f t="shared" si="1"/>
        <v>0</v>
      </c>
    </row>
    <row r="11" hidden="1">
      <c r="A11" s="6" t="s">
        <v>9</v>
      </c>
      <c r="B11" s="6" t="s">
        <v>4</v>
      </c>
      <c r="C11" s="6" t="b">
        <f t="shared" si="1"/>
        <v>1</v>
      </c>
    </row>
    <row r="12">
      <c r="A12" s="6" t="s">
        <v>10</v>
      </c>
      <c r="B12" s="6" t="s">
        <v>319</v>
      </c>
      <c r="C12" s="6" t="b">
        <f t="shared" si="1"/>
        <v>0</v>
      </c>
    </row>
    <row r="13" hidden="1">
      <c r="A13" s="6" t="s">
        <v>11</v>
      </c>
      <c r="B13" s="6" t="s">
        <v>6</v>
      </c>
      <c r="C13" s="6" t="b">
        <f t="shared" si="1"/>
        <v>1</v>
      </c>
    </row>
    <row r="14" hidden="1">
      <c r="A14" s="6" t="s">
        <v>12</v>
      </c>
      <c r="B14" s="6" t="s">
        <v>7</v>
      </c>
      <c r="C14" s="6" t="b">
        <f t="shared" si="1"/>
        <v>1</v>
      </c>
    </row>
    <row r="15" hidden="1">
      <c r="A15" s="6" t="s">
        <v>13</v>
      </c>
      <c r="B15" s="6" t="s">
        <v>8</v>
      </c>
      <c r="C15" s="6" t="b">
        <f t="shared" si="1"/>
        <v>1</v>
      </c>
    </row>
    <row r="16" hidden="1">
      <c r="A16" s="6" t="s">
        <v>14</v>
      </c>
      <c r="B16" s="6" t="s">
        <v>9</v>
      </c>
      <c r="C16" s="6" t="b">
        <f t="shared" si="1"/>
        <v>1</v>
      </c>
    </row>
    <row r="17">
      <c r="A17" s="6"/>
      <c r="B17" s="6" t="s">
        <v>320</v>
      </c>
      <c r="C17" s="6" t="b">
        <f t="shared" si="1"/>
        <v>0</v>
      </c>
    </row>
    <row r="18" hidden="1">
      <c r="A18" s="6"/>
      <c r="B18" s="6" t="s">
        <v>13</v>
      </c>
      <c r="C18" s="6" t="b">
        <f t="shared" si="1"/>
        <v>1</v>
      </c>
    </row>
    <row r="19">
      <c r="A19" s="6"/>
      <c r="B19" s="6"/>
    </row>
    <row r="20">
      <c r="A20" s="6"/>
      <c r="B20" s="6"/>
    </row>
    <row r="21">
      <c r="A21" s="6"/>
      <c r="B21" s="6"/>
    </row>
    <row r="22">
      <c r="A22" s="6"/>
      <c r="B22" s="6"/>
    </row>
    <row r="23">
      <c r="A23" s="6"/>
      <c r="B23" s="6"/>
    </row>
    <row r="24">
      <c r="A24" s="6"/>
      <c r="B24" s="6"/>
    </row>
    <row r="25">
      <c r="A25" s="6"/>
      <c r="B25" s="6"/>
    </row>
    <row r="26">
      <c r="A26" s="6"/>
      <c r="B26" s="6"/>
    </row>
    <row r="27">
      <c r="A27" s="6"/>
      <c r="B27" s="6"/>
    </row>
  </sheetData>
  <autoFilter ref="$A$1:$C$18">
    <filterColumn colId="2">
      <filters>
        <filter val="FALSE"/>
      </filters>
    </filterColumn>
  </autoFilter>
  <drawing r:id="rId1"/>
</worksheet>
</file>