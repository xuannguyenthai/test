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3.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xr:revisionPtr revIDLastSave="0" documentId="8_{CCD6FF50-4BE8-4FBA-9E0D-87F7F08E6CA9}" xr6:coauthVersionLast="47" xr6:coauthVersionMax="47" xr10:uidLastSave="{00000000-0000-0000-0000-000000000000}"/>
  <bookViews>
    <workbookView xWindow="0" yWindow="0" windowWidth="0" windowHeight="0" xr2:uid="{00000000-000D-0000-FFFF-FFFF00000000}"/>
  </bookViews>
  <sheets>
    <sheet name="MASTER SUMMARY SHEET" sheetId="1" r:id="rId1"/>
    <sheet name="output" sheetId="2" r:id="rId2"/>
    <sheet name="pivot tables" sheetId="3" r:id="rId3"/>
    <sheet name="Updated Manual Check" sheetId="4" r:id="rId4"/>
    <sheet name="Pattern Analysis (Batch_1_2)" sheetId="5" r:id="rId5"/>
    <sheet name="Pattern Analysis (Batch_3_4)" sheetId="6" r:id="rId6"/>
    <sheet name="Pattern Analysis (Batch_5_6)" sheetId="7" r:id="rId7"/>
    <sheet name="Pattern Analysis (Batch_7)" sheetId="8" r:id="rId8"/>
    <sheet name="DEPRECATED Manual Check For Out" sheetId="9" r:id="rId9"/>
    <sheet name="Calculations For Working" sheetId="10" r:id="rId10"/>
  </sheets>
  <definedNames>
    <definedName name="_xlnm._FilterDatabase" localSheetId="1" hidden="1">output!$A$1:$U$93</definedName>
    <definedName name="Z_5A6D1F80_41DB_4724_9BA6_77FDF4D97D8F_.wvu.FilterData" localSheetId="3" hidden="1">'Updated Manual Check'!$A$1:$Y$93</definedName>
    <definedName name="Z_C4DD3BFF_4675_4D39_A981_D6AF094CC5ED_.wvu.FilterData" localSheetId="3" hidden="1">'Updated Manual Check'!$A$1:$Y$93</definedName>
    <definedName name="Z_E971E4F5_71A7_48E8_82BD_24BF33D28641_.wvu.FilterData" localSheetId="3" hidden="1">'Updated Manual Check'!$A$1:$Y$93</definedName>
  </definedNames>
  <calcPr calcId="191028"/>
  <customWorkbookViews>
    <customWorkbookView name="exact view" guid="{C4DD3BFF-4675-4D39-A981-D6AF094CC5ED}" maximized="1" windowWidth="0" windowHeight="0" activeSheetId="0"/>
    <customWorkbookView name="Group by Primary Error Category" guid="{E971E4F5-71A7-48E8-82BD-24BF33D28641}" maximized="1" windowWidth="0" windowHeight="0" activeSheetId="0"/>
    <customWorkbookView name="value mismatch filter" guid="{5A6D1F80-41DB-4724-9BA6-77FDF4D97D8F}" maximized="1" windowWidth="0" windowHeight="0" activeSheetId="0"/>
  </customWorkbookViews>
  <pivotCaches>
    <pivotCache cacheId="1309" r:id="rId11"/>
    <pivotCache cacheId="1317"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2" i="10" l="1"/>
  <c r="M49" i="10"/>
  <c r="M46" i="10"/>
  <c r="M43" i="10"/>
  <c r="M40" i="10"/>
  <c r="M37" i="10"/>
  <c r="M34" i="10"/>
  <c r="M31" i="10"/>
  <c r="M28" i="10"/>
  <c r="M25" i="10"/>
  <c r="M22" i="10"/>
  <c r="M19" i="10"/>
  <c r="M16" i="10"/>
  <c r="M13" i="10"/>
  <c r="M10" i="10"/>
  <c r="M7" i="10"/>
  <c r="M4" i="10"/>
  <c r="O3" i="10"/>
  <c r="B47" i="5"/>
  <c r="B46" i="5"/>
  <c r="B45" i="5"/>
  <c r="B44" i="5"/>
  <c r="B23" i="5"/>
  <c r="C23" i="5" s="1"/>
  <c r="B22" i="5"/>
  <c r="C22" i="5" s="1"/>
  <c r="B21" i="5"/>
  <c r="C21" i="5" s="1"/>
  <c r="B17" i="5"/>
  <c r="C17" i="5" s="1"/>
  <c r="C16" i="5"/>
  <c r="C15" i="5"/>
  <c r="C14" i="5"/>
  <c r="C13" i="5"/>
  <c r="C12" i="5"/>
  <c r="C11" i="5"/>
  <c r="U93" i="4"/>
  <c r="U92" i="4"/>
  <c r="U91" i="4"/>
  <c r="U90" i="4"/>
  <c r="U89" i="4"/>
  <c r="U88" i="4"/>
  <c r="U87" i="4"/>
  <c r="U86" i="4"/>
  <c r="U85" i="4"/>
  <c r="U84" i="4"/>
  <c r="U83" i="4"/>
  <c r="U82" i="4"/>
  <c r="U81" i="4"/>
  <c r="U80" i="4"/>
  <c r="U79" i="4"/>
  <c r="U78" i="4"/>
  <c r="U77" i="4"/>
  <c r="U76" i="4"/>
  <c r="U75" i="4"/>
  <c r="U74" i="4"/>
  <c r="U73" i="4"/>
  <c r="U72" i="4"/>
  <c r="U71" i="4"/>
  <c r="U70" i="4"/>
  <c r="U69" i="4"/>
  <c r="U68" i="4"/>
  <c r="U67" i="4"/>
  <c r="U66" i="4"/>
  <c r="U65" i="4"/>
  <c r="U64" i="4"/>
  <c r="U63" i="4"/>
  <c r="U62" i="4"/>
  <c r="U61" i="4"/>
  <c r="U60" i="4"/>
  <c r="U59" i="4"/>
  <c r="U58" i="4"/>
  <c r="U57" i="4"/>
  <c r="U56" i="4"/>
  <c r="U55" i="4"/>
  <c r="U54" i="4"/>
  <c r="U53" i="4"/>
  <c r="U52" i="4"/>
  <c r="U51" i="4"/>
  <c r="U50" i="4"/>
  <c r="U49" i="4"/>
  <c r="U48" i="4"/>
  <c r="U47" i="4"/>
  <c r="U46" i="4"/>
  <c r="U45" i="4"/>
  <c r="U44" i="4"/>
  <c r="U43" i="4"/>
  <c r="U42" i="4"/>
  <c r="U41" i="4"/>
  <c r="U40" i="4"/>
  <c r="U39" i="4"/>
  <c r="U38" i="4"/>
  <c r="U37" i="4"/>
  <c r="U36" i="4"/>
  <c r="U35" i="4"/>
  <c r="U34" i="4"/>
  <c r="U33" i="4"/>
  <c r="U32" i="4"/>
  <c r="U31" i="4"/>
  <c r="U30" i="4"/>
  <c r="U29" i="4"/>
  <c r="U28" i="4"/>
  <c r="U27" i="4"/>
  <c r="U26" i="4"/>
  <c r="U25" i="4"/>
  <c r="U24" i="4"/>
  <c r="U23" i="4"/>
  <c r="U22" i="4"/>
  <c r="U21" i="4"/>
  <c r="U20" i="4"/>
  <c r="U19" i="4"/>
  <c r="U18" i="4"/>
  <c r="U17" i="4"/>
  <c r="U16" i="4"/>
  <c r="U15" i="4"/>
  <c r="U14" i="4"/>
  <c r="U13" i="4"/>
  <c r="U12" i="4"/>
  <c r="U11" i="4"/>
  <c r="U10" i="4"/>
  <c r="U9" i="4"/>
  <c r="U8" i="4"/>
  <c r="U7" i="4"/>
  <c r="U6" i="4"/>
  <c r="U5" i="4"/>
  <c r="U4" i="4"/>
  <c r="U3" i="4"/>
  <c r="U2" i="4"/>
  <c r="N29" i="3"/>
  <c r="N28" i="3"/>
  <c r="N27" i="3"/>
  <c r="N26" i="3"/>
  <c r="N25" i="3"/>
  <c r="N24" i="3"/>
  <c r="N23" i="3"/>
  <c r="K18" i="3"/>
  <c r="O29" i="3" s="1"/>
  <c r="E18" i="3"/>
  <c r="K17" i="3"/>
  <c r="O28" i="3" s="1"/>
  <c r="E17" i="3"/>
  <c r="K16" i="3"/>
  <c r="O27" i="3" s="1"/>
  <c r="E16" i="3"/>
  <c r="K15" i="3"/>
  <c r="O26" i="3" s="1"/>
  <c r="E15" i="3"/>
  <c r="K14" i="3"/>
  <c r="O25" i="3" s="1"/>
  <c r="E14" i="3"/>
  <c r="K13" i="3"/>
  <c r="O24" i="3" s="1"/>
  <c r="E13" i="3"/>
  <c r="K12" i="3"/>
  <c r="O23" i="3" s="1"/>
  <c r="E12" i="3"/>
  <c r="I8" i="3"/>
  <c r="I7" i="3"/>
  <c r="I6" i="3"/>
  <c r="I5" i="3"/>
  <c r="I4" i="3"/>
  <c r="I3" i="3"/>
  <c r="D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tc={31e035bb-6dfe-41a5-82b7-7aa74bfb2a26}</author>
  </authors>
  <commentList>
    <comment ref="T44" authorId="0" shapeId="0" xr:uid="{31E035BB-6DFE-41A5-82B7-7AA74BFB2A26}">
      <text>
        <t>[Threaded comment]
Your version of Excel allows you to read this threaded comment; however, any edits to it will get removed if the file is opened in a newer version of Excel. Learn more: https://go.microsoft.com/fwlink/?linkid=870924
Comment:
    @aakash@lana.eco I found that the 6mth value is from the latest PEC EPCC contract with CNECC, the 18 months is and older contract.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tc={f26cf4ae-dddb-4ff2-acaf-ab043c350e40}</author>
    <author>tc={4464fbf5-4a03-4e3b-836d-2afd95350c99}</author>
  </authors>
  <commentList>
    <comment ref="D3" authorId="0" shapeId="0" xr:uid="{00000000-0006-0000-0200-000001000000}">
      <text>
        <r>
          <rPr>
            <sz val="10"/>
            <color rgb="FF000000"/>
            <rFont val="Arial"/>
            <scheme val="minor"/>
          </rPr>
          <t>(&lt;exact_match&gt;+0.5*&lt;partial_match&gt;)/(&lt;datapoints_with_references&gt;)</t>
        </r>
      </text>
    </comment>
    <comment ref="B27" authorId="1" shapeId="0" xr:uid="{F26CF4AE-DDDB-4FF2-ACAF-AB043C350E40}">
      <text>
        <t>[Threaded comment]
Your version of Excel allows you to read this threaded comment; however, any edits to it will get removed if the file is opened in a newer version of Excel. Learn more: https://go.microsoft.com/fwlink/?linkid=870924
Comment:
    In terms of RAG layer, the largest root cause is the Retrieval piece. Solving for Interpretation + Retrieval would is 2/3rds of the problem.</t>
      </text>
    </comment>
    <comment ref="B34" authorId="2" shapeId="0" xr:uid="{4464FBF5-4A03-4E3B-836D-2AFD95350C99}">
      <text>
        <t>[Threaded comment]
Your version of Excel allows you to read this threaded comment; however, any edits to it will get removed if the file is opened in a newer version of Excel. Learn more: https://go.microsoft.com/fwlink/?linkid=870924
Comment:
    ~1/5 of the retrieval errors are due to "retrieval failure"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tc={9220f476-e81b-4369-a8ab-82dd5c375cc6}</author>
    <author>tc={5b622380-a598-4e92-b547-8078b189c32e}</author>
    <author>tc={8c0e0d48-d6a4-4fa6-822a-6abd19f38bda}</author>
    <author>tc={7b7420f4-0dd7-46e5-a560-38a1c61d0c90}</author>
    <author>tc={8c37d6c2-e684-4cb8-946d-a86c75458f6a}</author>
    <author>tc={d2ac88ea-54a2-40b9-81ce-8d8b548d24c9}</author>
    <author>tc={6b3f4f49-d699-4ac4-bdae-c63b39ccaab1}</author>
    <author>tc={3d5b781b-587f-4f77-88a2-b8e2e3004d2f}</author>
    <author>tc={cc1a0efe-b2ca-4737-89c3-3fba315d2a53}</author>
    <author>tc={67e84d21-4929-4ee8-92b7-d6e5806f932c}</author>
  </authors>
  <commentList>
    <comment ref="U1" authorId="0" shapeId="0" xr:uid="{9220F476-E81B-4369-A8AB-82DD5C375CC6}">
      <text>
        <t>[Threaded comment]
Your version of Excel allows you to read this threaded comment; however, any edits to it will get removed if the file is opened in a newer version of Excel. Learn more: https://go.microsoft.com/fwlink/?linkid=870924
Comment:
    Which part of system failed (Retrieval / Extraction / Computation)	To know where to fix. IG meaning of the "RAG Layer Affected" is same almost so we can keep it one column.</t>
      </text>
    </comment>
    <comment ref="W1" authorId="1" shapeId="0" xr:uid="{5B622380-A598-4E92-B547-8078B189C32E}">
      <text>
        <t>[Threaded comment]
Your version of Excel allows you to read this threaded comment; however, any edits to it will get removed if the file is opened in a newer version of Excel. Learn more: https://go.microsoft.com/fwlink/?linkid=870924
Comment:
    How serious the mistake is
Reply:
    CRITICAL → System output cannot be trusted for decision-making
HIGH → Needs correction before financial approval
MEDIUM → Acceptable for review draft, not final credit memo
LOW → Safe for most modeling purposes
NONE → Fully reliable</t>
      </text>
    </comment>
    <comment ref="X1" authorId="2" shapeId="0" xr:uid="{8C0E0D48-D6A4-4FA6-822A-6ABD19F38BDA}">
      <text>
        <t>[Threaded comment]
Your version of Excel allows you to read this threaded comment; however, any edits to it will get removed if the file is opened in a newer version of Excel. Learn more: https://go.microsoft.com/fwlink/?linkid=870924
Comment:
    How urgent the fix is	To plan engineering work Based on priority.
Reply:
    CRITICAL - Big financial or legal risk Datapoints.
HIGH - Important mistake. Should fix soon with important Datapoints.
MEDIUM - Moderate issue. Not urgent but needs improvements in Datapoints.
LOW - Small issue. Minor impact.
NONE - No issue. Correct answer.</t>
      </text>
    </comment>
    <comment ref="Y3" authorId="3" shapeId="0" xr:uid="{7B7420F4-0DD7-46E5-A560-38A1C61D0C90}">
      <text>
        <t>[Threaded comment]
Your version of Excel allows you to read this threaded comment; however, any edits to it will get removed if the file is opened in a newer version of Excel. Learn more: https://go.microsoft.com/fwlink/?linkid=870924
Comment:
    @aakash@lana.eco I saw that LPG is mentioned in the TSA, but not in the term sheet. the LPG refers to C3 and C4 product storage. so it is another term for the products. You can see this on pg 58 of 79 (one case of mention, but also present in other parts of the document) of '47.3.5.1.2.1.1 PEC TSA dated 15 May 2'
Reply:
    Thank you for the clarification. Based on this context, can we treat the response as correct rather than a scope over-expansion or hallucination ??
@jin@lana.eco
Reply:
    yes!</t>
      </text>
    </comment>
    <comment ref="Y25" authorId="4" shapeId="0" xr:uid="{8C37D6C2-E684-4CB8-946D-A86C75458F6A}">
      <text>
        <t>[Threaded comment]
Your version of Excel allows you to read this threaded comment; however, any edits to it will get removed if the file is opened in a newer version of Excel. Learn more: https://go.microsoft.com/fwlink/?linkid=870924
Comment:
    The per day qualifier her is important and should be extracted from the units. Ideally annual time units is also extracted for shell -&gt; how do we define this together in one data point, or another datapoint?
Reply:
    Thanks, that makes sense. The time qualifier definitely seems important for correct interpretation and aggregation.
Before we finalize how to handle it, I think it would help to align on the schema approach.
@massimiliano@lana.eco — could you confirm whether the time basis should be included as part of the unit datapoint, or captured separately?</t>
      </text>
    </comment>
    <comment ref="Y28" authorId="5" shapeId="0" xr:uid="{D2AC88EA-54A2-40B9-81CE-8D8B548D24C9}">
      <text>
        <t>[Threaded comment]
Your version of Excel allows you to read this threaded comment; however, any edits to it will get removed if the file is opened in a newer version of Excel. Learn more: https://go.microsoft.com/fwlink/?linkid=870924
Comment:
    datapoint definition is no longer clear, there are two ways to interpret this. 1. feedstock quality specification based on engineering design specifications. 2. feedstock contracted quality specified in feedstock contracts. So there's an error here in the expected document source.
Reply:
    So is that correct ?? or If both are relevant, we may consider splitting this into two separate datapoints to avoid interpretation ambiguity ?? what do you think ?
@jin@lana.eco
Reply:
    Yes, the intention of this data point is to verify that the quality of the contracted feedstock meets the minimum requirement stated in the engineering design document. In the PEC answer, I listed the ground truth source as an engineering document. We will need this from each feedstock contract with the feedstock supplier, as well as from the engineering document. So, based on my original expected document source as a feedstock supply contract, the extracted answer is correct, and my PEC answer needs to be moved to a new datapoint.</t>
      </text>
    </comment>
    <comment ref="Y31" authorId="6" shapeId="0" xr:uid="{6B3F4F49-D699-4AC4-BDAE-C63B39CCAAB1}">
      <text>
        <t>[Threaded comment]
Your version of Excel allows you to read this threaded comment; however, any edits to it will get removed if the file is opened in a newer version of Excel. Learn more: https://go.microsoft.com/fwlink/?linkid=870924
Comment:
    ground truth context: contract mentions take or pay provisions. industry standard is that once minimum is defined, then the take-or-pay provisions are applied to the minimum.
Reply:
    Thanks, that’s helpful. Since the contract defines a minimum quantity and take-or-pay provisions apply to that minimum as industry standard, it may be a wording alignment issue rather than absence of the clause. The model should extract the defined minimum quantity and treat it as the take-or-pay base. I guess</t>
      </text>
    </comment>
    <comment ref="Y32" authorId="7" shapeId="0" xr:uid="{3D5B781B-587F-4F77-88A2-B8E2E3004D2F}">
      <text>
        <t>[Threaded comment]
Your version of Excel allows you to read this threaded comment; however, any edits to it will get removed if the file is opened in a newer version of Excel. Learn more: https://go.microsoft.com/fwlink/?linkid=870924
Comment:
    @aakash@lana.eco is this a hallucination?
Reply:
    @jin@lana.eco 
This is not hallucination — the model extracted the coverage values directly from the insurance policy document. Since there is no PEC baseline provided for comparison, we’re unable to validate completeness or correctness.
These figures are present in the document “Copy of 47.8.1.3 Insurance Report_Bankserve.pdf”, which is why the model returned them.
Reply:
    ok let me check and update the PEC answer as required!</t>
      </text>
    </comment>
    <comment ref="Y42" authorId="8" shapeId="0" xr:uid="{CC1A0EFE-B2CA-4737-89C3-3FBA315D2A53}">
      <text>
        <t>[Threaded comment]
Your version of Excel allows you to read this threaded comment; however, any edits to it will get removed if the file is opened in a newer version of Excel. Learn more: https://go.microsoft.com/fwlink/?linkid=870924
Comment:
    My PEC answer is incorrect here. it should be 20%. the cell above was copied below in the PEC answer and probably replaced the original answer with the above cell's answer.</t>
      </text>
    </comment>
    <comment ref="Y45" authorId="9" shapeId="0" xr:uid="{67E84D21-4929-4EE8-92B7-D6E5806F932C}">
      <text>
        <t>[Threaded comment]
Your version of Excel allows you to read this threaded comment; however, any edits to it will get removed if the file is opened in a newer version of Excel. Learn more: https://go.microsoft.com/fwlink/?linkid=870924
Comment:
    units can be interpreted as units of products, maybe we need to call this units of measurement.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tc={069da2d0-0c2e-48d0-9caf-83fb607ced0d}</author>
    <author>tc={c14361df-bbaa-4671-887a-692729608706}</author>
    <author>tc={aaad589b-1812-4a72-8790-fd21492212cf}</author>
    <author>tc={1234415c-bf32-4a43-bf0c-cc8f6cb58b7d}</author>
    <author>tc={924d71eb-a9b5-437d-bce3-efdf342bcec8}</author>
    <author>tc={739ad86a-0de0-49ba-9c0b-cc097ae34676}</author>
  </authors>
  <commentList>
    <comment ref="K14" authorId="0" shapeId="0" xr:uid="{069DA2D0-0C2E-48D0-9CAF-83FB607CED0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@aakash@lana.eco the AI correctly identified that there are two parties. the second entity PTSO comes from the updated agreement sent from the client in another feedstock contract.
Assigned to aakash@lana.eco</t>
      </text>
    </comment>
    <comment ref="C27" authorId="1" shapeId="0" xr:uid="{C14361DF-BBAA-4671-887A-692729608706}">
      <text>
        <t>[Threaded comment]
Your version of Excel allows you to read this threaded comment; however, any edits to it will get removed if the file is opened in a newer version of Excel. Learn more: https://go.microsoft.com/fwlink/?linkid=870924
Comment:
    Should we expect datapoint return 1 combined value across all contracts, or separate values per contract (e.g., Shell Condensate, Shell Naphtha, Equinor — total 3 expected values)?
Reply:
    @jin@lana.eco thoughts?
Reply:
    @aakash@lana.eco @massimiliano@lana.eco - I don't have visibility over standard contract terms of feedstock contracts. I would say it is safer now to expect 3 different values across the contract, rather than to have a future contract with different delivery terms for different products and the RAG failing to get them.</t>
      </text>
    </comment>
    <comment ref="C32" authorId="2" shapeId="0" xr:uid="{AAAD589B-1812-4A72-8790-FD21492212CF}">
      <text>
        <t>[Threaded comment]
Your version of Excel allows you to read this threaded comment; however, any edits to it will get removed if the file is opened in a newer version of Excel. Learn more: https://go.microsoft.com/fwlink/?linkid=870924
Comment:
    PEC says no document was provided, so technically there’s no value to extract. The system pulled 7 coverage amounts from a related doc. By the rules, this counts as correct, but it could also be seen as over-extraction since PEC didn’t expect any. I might want to clarify how to handle these “no doc” cases consistently.</t>
      </text>
    </comment>
    <comment ref="C33" authorId="3" shapeId="0" xr:uid="{1234415C-BF32-4A43-BF0C-CC8F6CB58B7D}">
      <text>
        <t>[Threaded comment]
Your version of Excel allows you to read this threaded comment; however, any edits to it will get removed if the file is opened in a newer version of Excel. Learn more: https://go.microsoft.com/fwlink/?linkid=870924
Comment:
    In PEC, no value is provided. I haven’t reviewed the raw documents yet — once I complete that, I’ll verify everything against the docs. As of now, it’s not mentioned in PEC, but it has been extracted.</t>
      </text>
    </comment>
    <comment ref="C42" authorId="4" shapeId="0" xr:uid="{924D71EB-A9B5-437D-BCE3-EFDF342BCEC8}">
      <text>
        <t>[Threaded comment]
Your version of Excel allows you to read this threaded comment; however, any edits to it will get removed if the file is opened in a newer version of Excel. Learn more: https://go.microsoft.com/fwlink/?linkid=870924
Comment:
    PEC quote mentions 10% Performance LD, but the datapoint asks for the total LD cap.
The extraction identifies 20% of Contract Price as the aggregate cap for all LDs, consistent across both CNCEC+PEC and W&amp;C Draft contracts.
So Does it correct?</t>
      </text>
    </comment>
    <comment ref="K44" authorId="5" shapeId="0" xr:uid="{739AD86A-0DE0-49BA-9C0B-CC097AE34676}">
      <text>
        <t>[Threaded comment]
Your version of Excel allows you to read this threaded comment; however, any edits to it will get removed if the file is opened in a newer version of Excel. Learn more: https://go.microsoft.com/fwlink/?linkid=870924
Comment:
    @massimiliano@lana.eco @aakash@lana.eco I suspect that this new data point only has a partial completion rate due to the definition of 'nameplate capacity'. possible synonyms: capacity per product line. The two main products are paraxylene and benzene.</t>
      </text>
    </comment>
  </commentList>
</comments>
</file>

<file path=xl/sharedStrings.xml><?xml version="1.0" encoding="utf-8"?>
<sst xmlns="http://schemas.openxmlformats.org/spreadsheetml/2006/main" count="4870" uniqueCount="1517">
  <si>
    <t>Batch</t>
  </si>
  <si>
    <t>Total Points</t>
  </si>
  <si>
    <t>High+Critical %</t>
  </si>
  <si>
    <t>Medium %</t>
  </si>
  <si>
    <t>No Error %</t>
  </si>
  <si>
    <t>Dominant Risk</t>
  </si>
  <si>
    <t>Primary Failing Layer</t>
  </si>
  <si>
    <t>Batch 1–2</t>
  </si>
  <si>
    <t>ENTITY_RESOLUTION</t>
  </si>
  <si>
    <t>Interpretation</t>
  </si>
  <si>
    <t>Batch 3–4</t>
  </si>
  <si>
    <t>RETRIEVAL_RECALL_FAILURE</t>
  </si>
  <si>
    <t>Retrieval</t>
  </si>
  <si>
    <t>Batch 5–6</t>
  </si>
  <si>
    <t>FINANCIAL_EXTRACTION_FAILURE</t>
  </si>
  <si>
    <t>Extraction</t>
  </si>
  <si>
    <t>Batch 7</t>
  </si>
  <si>
    <t>FINANCIAL_MODEL_NAVIGATION</t>
  </si>
  <si>
    <t>Retrieval + Computation</t>
  </si>
  <si>
    <t>OVERALL (1–7)</t>
  </si>
  <si>
    <t>STRUCTURAL_RETRIEVAL+EXTRACTION</t>
  </si>
  <si>
    <t>Retrieval / Extraction</t>
  </si>
  <si>
    <t>Overall Error Distribution</t>
  </si>
  <si>
    <t>Failure Category</t>
  </si>
  <si>
    <t>Estimated Count %</t>
  </si>
  <si>
    <t>Systemic?</t>
  </si>
  <si>
    <t>Primary Layer</t>
  </si>
  <si>
    <t>Impact Type</t>
  </si>
  <si>
    <t>Retrieval Recall Failure</t>
  </si>
  <si>
    <t>~24%</t>
  </si>
  <si>
    <t>Yes</t>
  </si>
  <si>
    <t>Missing Contracts / Clauses</t>
  </si>
  <si>
    <t>Financial Extraction Failure</t>
  </si>
  <si>
    <t>~22%</t>
  </si>
  <si>
    <t>Missing Financial Line Items</t>
  </si>
  <si>
    <t>Model Navigation Failure</t>
  </si>
  <si>
    <t>~18%</t>
  </si>
  <si>
    <t>Retrieval + Interpretation</t>
  </si>
  <si>
    <t>Wrong Sheet / Wrong Row</t>
  </si>
  <si>
    <t>Temporal Dimension Omission</t>
  </si>
  <si>
    <t>~11%</t>
  </si>
  <si>
    <t>Latest-Year Bias</t>
  </si>
  <si>
    <t>Structural Clause Collapse</t>
  </si>
  <si>
    <t>~7%</t>
  </si>
  <si>
    <t>Rate → Lump Sum Conversion</t>
  </si>
  <si>
    <t>Unit / Scaling Errors</t>
  </si>
  <si>
    <t>~6%</t>
  </si>
  <si>
    <t>KMTA / USDk Issues</t>
  </si>
  <si>
    <t>Entity Resolution Issues</t>
  </si>
  <si>
    <t>Partially</t>
  </si>
  <si>
    <t>Entity vs Brand Confusion</t>
  </si>
  <si>
    <t>Formula Misapplication</t>
  </si>
  <si>
    <t>Computation</t>
  </si>
  <si>
    <t>Wrong Numerator/Denominator</t>
  </si>
  <si>
    <t>True No Error</t>
  </si>
  <si>
    <t>~23%</t>
  </si>
  <si>
    <t>—</t>
  </si>
  <si>
    <t>Correct</t>
  </si>
  <si>
    <t>Layer Risk Overview</t>
  </si>
  <si>
    <t>Layer</t>
  </si>
  <si>
    <t>Failure % Contribution</t>
  </si>
  <si>
    <t>Risk Level</t>
  </si>
  <si>
    <t>Main Pattern Observed</t>
  </si>
  <si>
    <t>Retrieval Layer</t>
  </si>
  <si>
    <t>~42%</t>
  </si>
  <si>
    <t>Very High</t>
  </si>
  <si>
    <t>Top-k truncation, wrong sheet, missing clause sections</t>
  </si>
  <si>
    <t>Extraction Layer</t>
  </si>
  <si>
    <t>~33%</t>
  </si>
  <si>
    <t>Financial statement line-item recognition failure</t>
  </si>
  <si>
    <t>Interpretation Layer</t>
  </si>
  <si>
    <t>~15%</t>
  </si>
  <si>
    <t>Medium</t>
  </si>
  <si>
    <t>Unit scaling, entity resolution, clause structuring</t>
  </si>
  <si>
    <t>Computation Layer</t>
  </si>
  <si>
    <t>~10%</t>
  </si>
  <si>
    <t>High</t>
  </si>
  <si>
    <t>Formula misuse, wrong averaging period</t>
  </si>
  <si>
    <t>RAG Enhancement Priorities</t>
  </si>
  <si>
    <t>Priority</t>
  </si>
  <si>
    <t>Fix Area</t>
  </si>
  <si>
    <t>Why It Matters</t>
  </si>
  <si>
    <t>Impact Level</t>
  </si>
  <si>
    <t>Sheet &amp; Row Anchoring Rules</t>
  </si>
  <si>
    <t>Prevents 30%+ financial distortions</t>
  </si>
  <si>
    <t>Critical</t>
  </si>
  <si>
    <t>Financial Statement Extraction Schema (multi-year enforced)</t>
  </si>
  <si>
    <t>Fixes 22% of failures</t>
  </si>
  <si>
    <t>Multi-Contract Retrieval Guarantee</t>
  </si>
  <si>
    <t>Prevents recall collapse</t>
  </si>
  <si>
    <t>Temporal Dimension Enforcement (3-year rule)</t>
  </si>
  <si>
    <t>Fixes credit modeling distortion</t>
  </si>
  <si>
    <t>Structured Clause Extractor (rate vs cap separation)</t>
  </si>
  <si>
    <t>Prevents LD collapse</t>
  </si>
  <si>
    <t>Unit &amp; Currency Normalization Layer</t>
  </si>
  <si>
    <t>Prevents KMTA / USDk distortions</t>
  </si>
  <si>
    <t>Post-processing</t>
  </si>
  <si>
    <t>Overall Accuracy Snapshot</t>
  </si>
  <si>
    <t>Metric</t>
  </si>
  <si>
    <t>Value</t>
  </si>
  <si>
    <t>Perfect Accuracy %</t>
  </si>
  <si>
    <t>Acceptable (Noise Only) %</t>
  </si>
  <si>
    <t>~17%</t>
  </si>
  <si>
    <t>Dangerous Structural Error %</t>
  </si>
  <si>
    <t>~52%</t>
  </si>
  <si>
    <t>Retrieval-Originated Errors %</t>
  </si>
  <si>
    <t>~41%</t>
  </si>
  <si>
    <t>Extraction-Originated Errors %</t>
  </si>
  <si>
    <t>Computation-Originated Errors %</t>
  </si>
  <si>
    <t>Interpretation-Originated Errors %</t>
  </si>
  <si>
    <t>datapoint</t>
  </si>
  <si>
    <t>label</t>
  </si>
  <si>
    <t>extracted_value</t>
  </si>
  <si>
    <t>confidence</t>
  </si>
  <si>
    <t>expected_data_type</t>
  </si>
  <si>
    <t>source_reference</t>
  </si>
  <si>
    <t>document_source</t>
  </si>
  <si>
    <t>document_category</t>
  </si>
  <si>
    <t>risk_oracle_name</t>
  </si>
  <si>
    <t>risk_oracle_category</t>
  </si>
  <si>
    <t>dimensions</t>
  </si>
  <si>
    <t>notes</t>
  </si>
  <si>
    <t>pec_answer</t>
  </si>
  <si>
    <t>chunks_retrieved</t>
  </si>
  <si>
    <t>extracted_at</t>
  </si>
  <si>
    <t>match_status</t>
  </si>
  <si>
    <t>accuracy_score</t>
  </si>
  <si>
    <t>extraction_success</t>
  </si>
  <si>
    <t>type_valid</t>
  </si>
  <si>
    <t>comparison_explanation</t>
  </si>
  <si>
    <t>has_source_reference</t>
  </si>
  <si>
    <t>Annual Throughput Entitlement for Feedstock</t>
  </si>
  <si>
    <t>annual_throughput_entitlement_for_feedstock</t>
  </si>
  <si>
    <t>HIGH</t>
  </si>
  <si>
    <t>int</t>
  </si>
  <si>
    <t>Copy of 47.3.5.1.2.1.1 PEC TSA dated 15 May 2.docx, Schedule A, Service Charges section, Throughput Entitlement</t>
  </si>
  <si>
    <t>Terminal Service Agreement (TSA)</t>
  </si>
  <si>
    <t>08. Operations &amp; Management</t>
  </si>
  <si>
    <t>Storage &amp; Volume Risk</t>
  </si>
  <si>
    <t>Feedstock</t>
  </si>
  <si>
    <t>per project, per feedstock</t>
  </si>
  <si>
    <t>Annual Throughput Entitlement for Feedstock, Petrochemicals and Refined Petroleum is 10,300,000 m³. The entitlement is stated jointly for 'Feedstock, Petrochemicals and Refined Petroleum' rather than for feedstock alone. A separate entitlement of 400,000 metric tons applies to LPG. 'Throughput' is defined as the volume per month of Products discharged into Tank measured at ambient temperature during discharge via vessels, external pipelines, or vehicles/trucks, excluding inter-tank transfers.</t>
  </si>
  <si>
    <t>condensate - 9,840,000
total for sour naphtha, paraxylene, benzene, jet kerosene, diesel, light naphtha, low sulfur fuel oil = 10,300,000
propane &amp; butane 554,268</t>
  </si>
  <si>
    <t>2026-02-24T09:42:08.527309+00:00</t>
  </si>
  <si>
    <t>PARTIAL_MATCH</t>
  </si>
  <si>
    <t>The extracted value of 10,300,000 matches the total for sour naphtha, paraxylene, benzene, jet kerosene, diesel, light naphtha, and low sulfur fuel oil. However, the reference answer indicates that 'Feedstock' throughput entitlement includes multiple categories: condensate (9,840,000), the product group totaling 10,300,000, and propane &amp; butane (554,268). The extraction only captured one of these values rather than the complete picture of annual throughput entitlements for feedstock.</t>
  </si>
  <si>
    <t>Annual Throughput Entitlement Units</t>
  </si>
  <si>
    <t>annual_throughput_entitlement_units</t>
  </si>
  <si>
    <t>m3 (for Feedstock, Petrochemicals and Refined Petroleum); metric ton (for LPG)</t>
  </si>
  <si>
    <t>string</t>
  </si>
  <si>
    <t>Copy of 47.3.5.1.2.1.1 PEC TSA dated 15 May 2.docx, Schedule A, Service Charges section - Throughput Entitlement</t>
  </si>
  <si>
    <t>The TSA specifies two different units depending on the product group: Annual Throughput Entitlement of 10,300,000 m³ for Feedstock, Petrochemicals and Refined Petroleum, and Annual Throughput Entitlement of 400,000 metric tons for Liquified Pressurized Gas (LPG).</t>
  </si>
  <si>
    <t>m^3 for condensate, and all other products</t>
  </si>
  <si>
    <t>2026-02-24T09:40:40.557496+00:00</t>
  </si>
  <si>
    <t>The reference specifies 'm^3 for condensate, and all other products' as a single unit (m³) applying broadly. The extracted value mentions m³ for some product categories (Feedstock, Petrochemicals, Refined Petroleum) but also introduces 'metric ton' for LPG, which is not mentioned in the reference. Additionally, the reference specifically mentions 'condensate' which is not explicitly listed in the extracted value. The extracted answer diverges from the reference by splitting units across product types and not matching the product categorization.</t>
  </si>
  <si>
    <t>Asking Annual Interest Rate</t>
  </si>
  <si>
    <t>asking_annual_interest_rate</t>
  </si>
  <si>
    <t>float</t>
  </si>
  <si>
    <t>ScenarioInputs!F583 [Coupon]</t>
  </si>
  <si>
    <t>Project Finance Model</t>
  </si>
  <si>
    <t>02. Financials &amp; Commercial</t>
  </si>
  <si>
    <t>EPC &amp; LD Real Economic Risk</t>
  </si>
  <si>
    <t>Construction</t>
  </si>
  <si>
    <t>Fuzzy match on 'Coupon'. Value: 0.115 (11.50%).</t>
  </si>
  <si>
    <t>2026-02-24T09:43:17.327772+00:00</t>
  </si>
  <si>
    <t>NO_REFERENCE</t>
  </si>
  <si>
    <t>No PEC Answer reference available</t>
  </si>
  <si>
    <t>Average Annual Revenue</t>
  </si>
  <si>
    <t>average_annual_revenue</t>
  </si>
  <si>
    <t>MEDIUM</t>
  </si>
  <si>
    <t>Output_Annual!Total revenue (2030-2045)</t>
  </si>
  <si>
    <t>Average of 16 years. Unit: USDk</t>
  </si>
  <si>
    <t>2026-02-24T09:43:16.895732+00:00</t>
  </si>
  <si>
    <t>Commercial Operation Date</t>
  </si>
  <si>
    <t>commercial_operation_date</t>
  </si>
  <si>
    <t>date</t>
  </si>
  <si>
    <t>Copy of 47.1.4 02_ProjectPEC_Financial Model_v0.617.xlsb, Section 2.1 General Timing (Construction) - 'Target operational completion date'; also confirmed in Dashboard Milestones as 'Start of operations'</t>
  </si>
  <si>
    <t>Long Delay &amp; EPC Risk</t>
  </si>
  <si>
    <t>per project</t>
  </si>
  <si>
    <t>The base case target operational completion date / start of operations is January 1, 2030, derived from a 45-month development period starting April 2026. This is the base case value with 0 months production delay. Stress test scenarios model delays of 3-12 months beyond this date.</t>
  </si>
  <si>
    <t>From Project Finance Model - Dashboard, G21 = 1/1/2030</t>
  </si>
  <si>
    <t>2026-02-24T09:41:31.501284+00:00</t>
  </si>
  <si>
    <t>EXACT_MATCH</t>
  </si>
  <si>
    <t>The extracted value of 2030-01-01 matches the reference answer of 1/1/2030 exactly. Both represent January 1, 2030, and the source is consistent with the reference (Dashboard).</t>
  </si>
  <si>
    <t>EPCC Book Value of Equity</t>
  </si>
  <si>
    <t>epcc_book_value_of_equity</t>
  </si>
  <si>
    <t>{'2023': 301188938.16, '2022': 'NOT_FOUND'}</t>
  </si>
  <si>
    <t>China National Chemical Engineering International Corporation Ltd., Balance Sheet (Continued), Total owners' equity (or shareholders' equity), December 31, 2023, RMB</t>
  </si>
  <si>
    <t>EPCC 3 years Audited financial statement</t>
  </si>
  <si>
    <t>07. Engineering, Procurement &amp; Construction</t>
  </si>
  <si>
    <t>EPC Credit Risk</t>
  </si>
  <si>
    <t>per year</t>
  </si>
  <si>
    <t>The 2023 book value of equity is RMB 301,188,938.16, comprising paid-in capital of RMB 300,000,000.00 and retained earnings of RMB 1,188,938.16. The 2022 balance sheet (from Copy of 47.11.6.1 2022.pdf) is a blank template with no numerical values populated. The beginning balance column in the 2023 statements is also empty, confirming no prior year figures are available. Note: the 2024 PDF relates to China National Chemical Engineering Co., Ltd. (the parent company), not the EPCC International Corporation Ltd.</t>
  </si>
  <si>
    <t>CNCC 
47.11.6.1 2022.pdf - Total Shareholders' Equity -  not available
47.11.6.2 2024.pdf - Total Shareholders' Equity - pg10, 64,072,162,061.48 CNY
47.11.6.3 2024.pdf - Total Shareholders' Equity -  pg10, 68,897,813,204.52 CNY</t>
  </si>
  <si>
    <t>2026-02-24T09:42:21.479397+00:00</t>
  </si>
  <si>
    <t>MISMATCH</t>
  </si>
  <si>
    <t>The extracted value of 301,188,938.16 does not match any of the reference values. The reference provides Total Shareholders' Equity values of 64,072,162,061.48 CNY and 68,897,813,204.52 CNY for CNCC. The extracted value appears to come from a subsidiary (China National Chemical Engineering International Corporation Ltd.) rather than the parent entity CNCC, and the amounts are vastly different (hundreds of millions vs. tens of billions). Additionally, the 2022 value was not found, which aligns with the reference noting 2022 is 'not available', but the 2023 value is completely wrong.</t>
  </si>
  <si>
    <t>EPCC Current Assets</t>
  </si>
  <si>
    <t>epcc_current_assets</t>
  </si>
  <si>
    <t>China National Chemical Engineering International Corporation Ltd., Balance Sheet, Total current assets, December 31, 2023, RMB</t>
  </si>
  <si>
    <t>The datapoint requests 'EPCC Current Assets' which likely refers to 'China National Chemical Engineering International Corporation Ltd.' (the entity with 'International Corporation' in its name, matching an EPCC-type entity). The 2023 balance sheet shows total current assets of RMB 1,379,976,925.35. However, only one year of data (2023) with actual figures was found — the 2022 balance sheet template has no numerical values populated, and the 2024 consolidated statement is for the parent company (China National Chemical Engineering Co., Ltd.), not the International Corporation subsidiary. The definition mentions 'annualized' current assets, but balance sheet figures are point-in-time rather than annualized; the value provided is the ending balance as at December 31, 2023.</t>
  </si>
  <si>
    <t>CNCC 
47.11.6.1 2022.pdf - Current Asset -  not available
47.11.6.2 2024.pdf - Current Asset (2023) - pg9, 169,386,418,650.81 CNY
47.11.6.2 2023.pdf
- Current Asset (2023) - pg 6, 1,379,976,925.35
*values are different*
47.11.6.3 2024.pdf - Current Asset -  pg9 - 175,156,690,646.71 CNY</t>
  </si>
  <si>
    <t>2026-02-24T09:42:30.244574+00:00</t>
  </si>
  <si>
    <t>The extracted value of 1,379,976,925.35 matches the value from document 47.11.6.2 2023.pdf (pg 6). However, the reference notes that values are different across documents, and the 2024.pdf reports a significantly different 2023 current asset figure of 169,386,418,650.81 CNY. The extracted value matches one source but not the other, and the discrepancy suggests the extraction may have captured a subsidiary-level figure rather than the consolidated CNCC figure. Additionally, the extraction source mentions 'China National Chemical Engineering International Corporation Ltd.' which appears to be a subsidiary, not CNCC (China National Chemical Engineering Group Corporation) at the consolidated level.</t>
  </si>
  <si>
    <t>EPCC Current Liabilities</t>
  </si>
  <si>
    <t>epcc_current_liabilities</t>
  </si>
  <si>
    <t>{'2023': 1080653591.04, '2024': 155584305557.49}</t>
  </si>
  <si>
    <t>China National Chemical Engineering International Corporation Ltd. (2023) and China National Chemical Engineering Co., Ltd. (2024), Balance Sheet, Total current liabilities, RMB</t>
  </si>
  <si>
    <t>There is ambiguity regarding which entity is the 'EPCC'. Two entities appear in the documents: (1) China National Chemical Engineering International Corporation Ltd. with 2023 Total current liabilities of RMB 1,080,653,591.04 (from Copy of 47.11.6.2 2023.pdf); (2) China National Chemical Engineering Co., Ltd. (the consolidated parent) with 2024 Total current liabilities of RMB 155,584,305,557.49 and 2023 of RMB 143,546,048,214.48 (from Copy of 47.11.6.3 2024.pdf). The 2022 financial statements (Copy of 47.11.6.1 2022.pdf) contain only a blank template with no numerical values. 'EPCC' likely refers to the EPCC contractor entity - China National Chemical Engineering International Corporation Ltd. - but only 2023 data is available with actual figures for that entity. Values are in RMB (Chinese Yuan). The datapoint asks for 'annualized' current liabilities; since these are balance sheet figures (point-in-time), they represent the year-end balances rather than annualized flow figures.</t>
  </si>
  <si>
    <t>CNCC 
47.11.6.1 2022.pdf - Current Liabilities - not available 
47.11.6.2 2024.pdf - Current Liabilities (2023) - pg10, 143,546,048,214.48
47.11.6.2 2023.pdf
- Current Liabilities (2023) - pg 7, 1,080,653,591.04
*values are different*
47.11.6.3 2024.pdf - Current Liabilities - pg 10 155,584,303,557.49</t>
  </si>
  <si>
    <t>2026-02-24T09:42:19.585432+00:00</t>
  </si>
  <si>
    <t>The extracted 2023 value of 1,080,653,591.04 matches one of the reference values for 2023 (from 47.11.6.2 2023.pdf, pg 7), though the reference notes a different 2023 value exists (143,546,048,214.48 from the 2024.pdf). The extracted 2024 value of 155,584,305,557.49 is very close to the reference value of 155,584,303,557.49 but differs slightly (305,557.49 vs 303,557.49 - a difference of 2,000). This small discrepancy in the 2024 figure prevents an exact match. The entity attribution also appears mixed - the extraction references 'China National Chemical Engineering International Corporation Ltd.' for 2023 and 'China National Chemical Engineering Co., Ltd.' for 2024, which correspond to different subsidiaries (47.11.6.2 and 47.11.6.3 respectively).</t>
  </si>
  <si>
    <t>EPCC EBIT</t>
  </si>
  <si>
    <t>epcc_ebit</t>
  </si>
  <si>
    <t>NOT_FOUND</t>
  </si>
  <si>
    <t>LOW</t>
  </si>
  <si>
    <t>EPCC (China National Chemical Engineering International Corporation Ltd. / China National Chemical Engineering Co., Ltd.), Income Statement, various years</t>
  </si>
  <si>
    <t>The documents do not contain a clearly identifiable 'EBIT' (Earnings Before Interest &amp; Tax) line item for an entity specifically named 'EPCC'. The available data includes: (1) A 2022 income statement template with no figures populated; (2) China National Chemical Engineering International Corporation Ltd.'s 2023 income statement showing Operating Profit of RMB 1,585,250.89 (which equals Total Profits, as there are no non-operating items); (3) China National Chemical Engineering Co., Ltd.'s consolidated 2024 income statement showing Operating Profit of CNY 7,426,144,299.94. However, it is unclear which entity is 'EPCC', and the data does not consistently cover 3 years. Additionally, EBIT is not explicitly stated and would need to be derived (typically Operating Profit + Interest Expense - Interest Income, or Profit Before Tax + Interest Expense), but the available breakdowns are inconsistent across years. Without confirmation of which entity is 'EPCC' and complete 3-year data, the value cannot be reliably extracted.</t>
  </si>
  <si>
    <t>2026-02-24T09:42:30.804498+00:00</t>
  </si>
  <si>
    <t>EPCC Retained Earnings</t>
  </si>
  <si>
    <t>epcc_retained_earnings</t>
  </si>
  <si>
    <t>{'2023': 1188938.16, '2024': 37916600218.18, '2022': 'NOT_FOUND'}</t>
  </si>
  <si>
    <t>China National Chemical Engineering International Corporation Ltd. (EPCC), Balance Sheet, Retained Earnings, 2023 (RMB); China National Chemical Engineering Co., Ltd., Consolidated Statement of Financial Position, Retained Earnings, 2024 (CNY)</t>
  </si>
  <si>
    <t>There are two entities in the documents: (1) China National Chemical Engineering International Corporation Ltd. (likely the 'EPCC' entity) with retained earnings of RMB 1,188,938.16 as at December 31, 2023; (2) China National Chemical Engineering Co., Ltd. (the parent/consolidated entity) with retained earnings of CNY 37,916,600,218.18 as at December 31, 2024 and CNY 33,575,922,398.15 as at December 31, 2023. The 2022 financial statements (Copy of 47.11.6.1 2022.pdf) are blank templates with no numerical values. If EPCC refers specifically to China National Chemical Engineering International Corporation Ltd., the only available value is RMB 1,188,938.16 for 2023. The 2022 data is not available as the template contains no figures.</t>
  </si>
  <si>
    <t xml:space="preserve">CNCC 
47.11.6.1 2022.pdf - Current Retained Earnings -  not available.
47.11.6.2 2023.pdf - Retained Earnings - pg7, 1,383,569,761.23 
47.11.6.3 2024.pdf - Retained Earnings -  pg 10, 62, </t>
  </si>
  <si>
    <t>2026-02-24T09:41:59.857316+00:00</t>
  </si>
  <si>
    <t>The extracted 2023 value of 1,188,938.16 does not match the reference 2023 retained earnings of 1,383,569,761.23. The extracted value appears to be from the wrong entity (China National Chemical Engineering International Corporation Ltd. rather than CNCC/China National Chemical Engineering Co., Ltd.) or is otherwise incorrect. The 2022 'NOT_FOUND' matches the reference 'not available', but the key 2023 figure is wrong. The 2024 extracted value of 37,916,600,218.18 cannot be verified against the incomplete reference. Overall, the primary identifiable datapoint (2023) is a mismatch.</t>
  </si>
  <si>
    <t>EPCC Total Assets</t>
  </si>
  <si>
    <t>epcc_total_assets</t>
  </si>
  <si>
    <t>{'2024': 233421377309.4, '2023': 1383569761.23, '2022': 'NOT_FOUND'}</t>
  </si>
  <si>
    <t>Multiple entities - China National Chemical Engineering Co., Ltd. (Consolidated, 2024) and China National Chemical Engineering International Corporation Ltd. (2023), Balance Sheet, Total assets, CNY/RMB</t>
  </si>
  <si>
    <t>There is ambiguity about which entity is the 'EPCC'. Two different entities appear in the documents: (1) China National Chemical Engineering Co., Ltd. (consolidated) with total assets of CNY 233,421,377,309.40 (2024) and CNY 219,115,319,747.00 (2023); (2) China National Chemical Engineering International Corporation Ltd. with total assets of RMB 1,383,569,761.23 (2023). The 2022 balance sheet template contains no numerical values. If 'EPCC' refers to China National Chemical Engineering International Corporation Ltd., then 2023 = RMB 1,383,569,761.23 and 2022 is NOT_FOUND. If 'EPCC' refers to the consolidated entity (China National Chemical Engineering Co., Ltd.), then 2024 = CNY 233,421,377,309.40 and 2023 = CNY 219,115,319,747.00. Values are in full RMB/CNY units. The datapoint requests 'annualized' total assets, but balance sheet total assets are point-in-time figures, not annualized — these are the reported year-end figures.</t>
  </si>
  <si>
    <t>CNCC 
47.11.6.1 2022.pdf - Total Assets -  not available
47.11.6.2 2023.pdf - Total Assets - pg6, 1,383,569,761.23
47.11.6.3 2024.pdf - Total Assets -  pg 9, 233,421,377,309.40</t>
  </si>
  <si>
    <t>2026-02-24T09:42:00.521437+00:00</t>
  </si>
  <si>
    <t>The extracted values match the reference exactly: 2024 = 233,421,377,309.40, 2023 = 1,383,569,761.23, and 2022 is correctly identified as NOT_FOUND (reference says 'not available'). All three years are accurate. Minor deduction because the extraction source incorrectly attributes the entities to different companies (China National Chemical Engineering Co., Ltd. vs China National Chemical Engineering International Corporation Ltd.) rather than recognizing them as CNCC documents, but the numerical values themselves are correct.</t>
  </si>
  <si>
    <t>Expected Construction Period</t>
  </si>
  <si>
    <t>expected_construction_period</t>
  </si>
  <si>
    <t>Copy of 47.1.4 02_ProjectPEC_Financial Model_v0.617.xlsb, Section: 2. General Scenario settings &gt; 2.1 General Timing &gt; 2.1.1 Construction</t>
  </si>
  <si>
    <t>The 'Target development period' and 'Actual development period' are both 45 months (Base Case). The EPC period within this is 39 months. Construction starts April 2026 with target operational completion January 2030. Unit is months.</t>
  </si>
  <si>
    <t>From Project Finance Model - Dashboard, G19 = 45 months</t>
  </si>
  <si>
    <t>2026-02-24T09:39:46.350527+00:00</t>
  </si>
  <si>
    <t>The extracted value of 45 matches the reference answer of 45 months. Both represent the same expected construction period duration.</t>
  </si>
  <si>
    <t>Expected Construction Start Date</t>
  </si>
  <si>
    <t>expected_construction_start_date</t>
  </si>
  <si>
    <t>Copy of 47.1.4 02_ProjectPEC_Financial Model_v0.617.xlsb, Section 2.1 General Timing &gt; 2.1.1 Construction, and Dashboard &gt; Milestones</t>
  </si>
  <si>
    <t>The 'Start of development' date is consistently reported as 2026-04-01 across multiple sections of the model: the General Timing construction parameters, the Dashboard milestones, and corroborated by the Flags section showing the development period activating in May 2026 (the first full month after April 1). Source cited as 'Email from Tapash Bhattacharya, June 29, 2020'. This represents the construction/development commencement date for ProjectPEC.</t>
  </si>
  <si>
    <t>From Project Finance Model - Dashboard, G18 = 4/1/2026</t>
  </si>
  <si>
    <t>2026-02-24T09:41:00.944654+00:00</t>
  </si>
  <si>
    <t>The extracted value 2026-04-01 matches the reference date of 4/1/2026 exactly.</t>
  </si>
  <si>
    <t>Feedstock Baseline Price</t>
  </si>
  <si>
    <t>feedstock_baseline_price</t>
  </si>
  <si>
    <t>Copy of 47.2.1.1.1 Commercial Term Sheet Shell - Feedstock.docx and Copy of 47.11.3.1 Shell_Binding Term Sheet - Feedstock supply.pdf, Section: Price of the Cargo; Copy of 47.2.2.2.1 Equinor - Feedstock Sale and Product Purchase Agreement, Section 11: Feedstock Payments</t>
  </si>
  <si>
    <t>Feedstock Supply Agreements</t>
  </si>
  <si>
    <t>05. Feedstock</t>
  </si>
  <si>
    <t>Seasonal Availability Shortfall</t>
  </si>
  <si>
    <t>per supplier per contract</t>
  </si>
  <si>
    <t>No fixed baseline price per unit is specified in any of the feedstock supply agreements. The Shell contracts use a formula-based pricing mechanism (Price Formula = A + B + C) where 'A' is a floating benchmark (Platts Dated Brent, Platts Dubai, WTI, or MOPJ Naphtha), 'B' is a premium/discount communicated per cargo by the Seller, and 'C' covers additional pass-through costs. There is no single agreed fixed price per unit. The Equinor agreement similarly references market-based pricing (Feedstock Market Price) per Sections 11.2-11.5. The premium/discount component 'B' is determined on a per-cargo basis and is not a pre-agreed fixed number in the term sheets.</t>
  </si>
  <si>
    <t>Shell - No answer, equinor, no answer
equinor - no answer.</t>
  </si>
  <si>
    <t>2026-02-24T09:42:32.465836+00:00</t>
  </si>
  <si>
    <t>BOTH_NOT_FOUND</t>
  </si>
  <si>
    <t>Both extraction and reference indicate no data available</t>
  </si>
  <si>
    <t>Feedstock Buyer Entity</t>
  </si>
  <si>
    <t>feedstock_buyer_entity</t>
  </si>
  <si>
    <t>Pengerang Product Supply and Trading Organisation Pte. Ltd. (PSTO); Pengerang Energy Complex Sdn Bhd (PEC); Pengerang Energy Complex Sdn Bhd (PEC)</t>
  </si>
  <si>
    <t>Copy of 47.11.3.1 Shell_Binding Term Sheet - Feedstock supply.pdf, Section: Parties; Copy of 47.2.1.1.1 Commercial Term Sheet Shell - Feedstock.docx, Section: Parties; Copy of 47.2.2.2.1 Equinor - Feedstock Sale and Product Purchase Agreemen.pdf, Table of Contents/Recitals</t>
  </si>
  <si>
    <t>Supplier Capacity</t>
  </si>
  <si>
    <t>per feedstock contract</t>
  </si>
  <si>
    <t>Per feedstock contract: (1) Shell Binding Term Sheet (47.11.3.1) - Buyer is Pengerang Product Supply and Trading Organisation Pte. Ltd. (PSTO); (2) Shell Commercial Term Sheet (47.2.1.1.1) - Buyer is Pengerang Energy Complex Sdn Bhd (PEC); (3) Equinor Feedstock Sale and Product Purchase Agreement (47.2.2.2.1) - Buyer is Pengerang Energy Complex Sdn Bhd (PEC). Note that in the Shell Binding Term Sheet, PEC is also a party but PSTO is designated as the 'Buyer'.</t>
  </si>
  <si>
    <t>Pengerang Energy Complex Sdn Bhd, pg 1, 
File - 47.2.1.1.1 Commercial Term Sheet Shell - Feedstock.docx</t>
  </si>
  <si>
    <t>2026-02-24T09:41:33.122799+00:00</t>
  </si>
  <si>
    <t>The extracted value includes the correct entity 'Pengerang Energy Complex Sdn Bhd (PEC)' from the referenced file (47.2.1.1.1 Commercial Term Sheet Shell - Feedstock.docx), matching the ground truth. However, the extraction also includes additional entities (PSTO from another document, and a duplicate PEC entry from a third document) that were not requested. The correct answer is present but mixed with extra results.</t>
  </si>
  <si>
    <t>Feedstock Buyer's Option Percentage</t>
  </si>
  <si>
    <t>feedstock_buyer's_option_percentage</t>
  </si>
  <si>
    <t>±10%</t>
  </si>
  <si>
    <t>Copy of 47.2.1.1.1 Commercial Term Sheet Shell - Feedstock.docx, Section 1: Feedstock supply, Contract Quantity; Copy of 47.11.3.1 Shell_Binding Term Sheet - Feedstock supply.pdf, Section 1: Feedstock supply, Contract Quantity</t>
  </si>
  <si>
    <t>Price Fixed v Variable Share</t>
  </si>
  <si>
    <t>per feedstock contract
per feedstock</t>
  </si>
  <si>
    <t>Both Shell feedstock contracts (Condensate and Full Range Naphtha) specify ±10% at Buyer's option around the baseline ACQ. In one document version this is described as 'at Buyer's option' and in the other as 'at Buyer's operational tolerance'. The Equinor agreement does not use the same ±% buyer's option mechanism for annual quantities but defines an 'Operational Tolerance' of ±5% on scheduled delivery quantities. Shell Condensate: ±10%; Shell Full Range Naphtha: ±10%; Equinor Operational Tolerance: ±5% (on scheduled delivery quantities, not annual contract quantity).</t>
  </si>
  <si>
    <t xml:space="preserve">File - 47.2.1.1.1 Commercial Term Sheet Shell - Feedstock.docx, pg 2
Answer: condensate +/- 10% 
naphtha +/- 10% 
equinor: </t>
  </si>
  <si>
    <t>2026-02-24T09:41:46.628467+00:00</t>
  </si>
  <si>
    <t>The extracted value of ±10% captures the correct percentage figure, which matches both the condensate (+/- 10%) and naphtha (+/- 10%) buyer's option percentages. However, the reference answer includes additional detail specifying that this applies separately to condensate and naphtha, and also references Equinor (though that entry appears incomplete). The extracted value is correct but lacks the breakdown by feedstock type.</t>
  </si>
  <si>
    <t>Feedstock Cargo Volume Seller's Option Percentage</t>
  </si>
  <si>
    <t>feedstock_cargo_volume_seller's_option_percentage</t>
  </si>
  <si>
    <t>Condensate FIP: ±5%; Condensate DAP: ±5%; Full Range Naphtha FIP: ±10%; Full Range Naphtha DAP: ±10%</t>
  </si>
  <si>
    <t>Copy of 47.11.3.1 Shell_Binding Term Sheet - Feedstock supply.pdf, Section 1: Feedstock supply, Cargo Volume; Copy of 47.2.1.1.1 Commercial Term Sheet Shell - Feedstock.docx, Section 1: Feedstock supply, Cargo Volume</t>
  </si>
  <si>
    <t>Transportation Cost</t>
  </si>
  <si>
    <t>per feedstock contract, per feedstock, per delivery channel</t>
  </si>
  <si>
    <t>Both source documents consistently specify the same Seller's Option percentages: ±5% for Condensate and ±10% for Full Range Naphtha, applicable across both FIP and DAP delivery channels. These percentages allow the Seller to unilaterally adjust the nominated cargo volume within the stated parcel size ranges.</t>
  </si>
  <si>
    <t>File - 47.2.1.1.1 Commercial Term Sheet Shell - Feedstock.docx, pg 4
Answer: Condensate, +/- 5% 
naphtha +/- 10% 
equinor</t>
  </si>
  <si>
    <t>2026-02-24T09:41:39.085406+00:00</t>
  </si>
  <si>
    <t>The extracted value correctly captures the key percentages: Condensate ±5% and Naphtha ±10%, matching the reference. However, the extracted value includes additional detail by breaking down into FIP and DAP variants for each feedstock type, and it does not mention 'equinor' which appears in the reference answer. The core numerical values and feedstock types are correct.</t>
  </si>
  <si>
    <t>Feedstock Contract Expected Initial Delivery Date</t>
  </si>
  <si>
    <t>feedstock_contract_expected_initial_delivery_date</t>
  </si>
  <si>
    <t>All provided chunks from Shell and Equinor Feedstock Supply Agreements</t>
  </si>
  <si>
    <t>Take-or-pay Coverage Ratio</t>
  </si>
  <si>
    <t>per contract</t>
  </si>
  <si>
    <t>No specific initial delivery date is stated in any of the provided contract chunks. The Shell contracts define the Start Date as the '1st Day of the Delivery Month in which the first cargo is delivered by the Seller and such date being after PEC Start Date,' which itself is contingent on the Pengerang chemicals complex becoming operational. The Equinor contract defines the term relative to the Commercial Operations Date (COD). Neither contract specifies an expected calendar date for the first delivery.</t>
  </si>
  <si>
    <t>Shell - no answer.</t>
  </si>
  <si>
    <t>2026-02-24T09:42:24.928818+00:00</t>
  </si>
  <si>
    <t>Feedstock Contract Pricing Formula</t>
  </si>
  <si>
    <t>feedstock_contract_pricing_formula</t>
  </si>
  <si>
    <t>Price Formula = A + B + C, where A = Pricing benchmark (Condensate: Platts Dated Brent month average or Platts Dubai average or WTI of the Feedstock Delivery Month; Full Range Naphtha: Platts Monthly Average of MOPJ Naphtha of the Feedstock Delivery Month), B = Premium/discount (US$/bbl for Condensate, US$/MT for Full Range Naphtha), C = Others (freight, demurrage, insurance, storage, working capital financing cost, hedging cost, Market Structure Adjustment for FIP); Shell Binding Term Sheet | Equinor agreement: Feedstock Market Price defined separately for Secured Grade Quantities (Section 11.2), Fallback Quantities (Section 11.3), FRN (Section 11.4), and Roll-over Quantities (Section 11.5) - detailed formula not extracted from available text</t>
  </si>
  <si>
    <t>Shell contracts: Copy of 47.11.3.1 Shell_Binding Term Sheet - Feedstock supply.pdf, Section 'Price of the Cargo'; Copy of 47.2.1.1.1 Commercial Term Sheet Shell - Feedstock.docx, Section 'Price of the Cargo'; Equinor contract: Copy of 47.2.2.2.1 Equinor - Feedstock Sale and Product Purchase Agreement.pdf, Sections 11.1-11.5 (table of contents only)</t>
  </si>
  <si>
    <t>Shortfall</t>
  </si>
  <si>
    <t>per feedstock contract 
per feedstock</t>
  </si>
  <si>
    <t>Two Shell feedstock term sheets provide the same Price Formula = A + B + C structure with identical components. The Equinor Feedstock Sale and Product Purchase Agreement references feedstock pricing in Sections 11.1-11.9 but only the table of contents is available in the provided context—the detailed pricing formula text for Equinor was not provided. Minor differences between the two Shell documents: one involves three parties (including Pengerang Product Supply and Trading Organisation Pte. Ltd), the other is bilateral; DAP Market Structure Adjustment language differs slightly.</t>
  </si>
  <si>
    <t xml:space="preserve">File - 47.2.1.1.1 Commercial Term Sheet Shell - Feedstock.docx, pg 8
'Price Formula = A + B + C', where A = benchmark, B = Premium/discount
C = "others'
</t>
  </si>
  <si>
    <t>2026-02-24T09:41:55.309202+00:00</t>
  </si>
  <si>
    <t>The extracted value correctly identifies the feedstock contract pricing formula as 'Price Formula = A + B + C' where A = benchmark, B = Premium/discount, and C = Others, matching the reference answer. The extracted value goes beyond the reference by providing additional detail about the specific benchmarks and the Equinor agreement sections, but the core formula matches exactly. The source document also matches (47.2.1.1.1 Commercial Term Sheet Shell - Feedstock.docx).</t>
  </si>
  <si>
    <t>Feedstock Contract Pricing Formula Components</t>
  </si>
  <si>
    <t>feedstock_contract_pricing_formula_components</t>
  </si>
  <si>
    <t>Price Formula = A + B + C. Component A (Pricing benchmark): Condensate - Platts Dated Brent month average or Platts Dubai average or WTI of the Feedstock Delivery Month; Full Range Naphtha - Platts Monthly Average of MOPJ Naphtha of the Feedstock Delivery Month. Component B (Premium/discount): US$/bbl for Condensate, US$/MT for Full Range Naphtha, communicated by Seller after receiving Volume Nomination and Mandate. Component C (Others): freight, demurrage, insurance and storage; pre-agreed working capital financing cost (US$/bbl or US$/MT); hedging cost incurred by Seller as requested by Buyer (US$/bbl or US$/MT); Market Structure Adjustment (applicable only for FIP) - US$/bbl or US$/MT to adjust B for difference between pricing for Feedstock Delivery Month and Actual Feedstock Delivery Date.</t>
  </si>
  <si>
    <t>Copy of 47.11.3.1 Shell_Binding Term Sheet - Feedstock supply.pdf, Section: Price of the Cargo; Copy of 47.2.1.1.1 Commercial Term Sheet Shell - Feedstock.docx, Section: Price of the Cargo. Equinor agreement (Copy of 47.2.2.2.1) references Clauses 11.1-11.11 for Feedstock Payments but detailed formula not provided in extracted chunks.</t>
  </si>
  <si>
    <t>Two Shell term sheets provide substantially identical pricing formulas. The Shell binding term sheet (47.11.3.1) notes that under DAP, Market Structure Adjustment is 'to be discussed between the Parties', while the Commercial Term Sheet (47.2.1.1.1) states that under DAP, market structure adjustment costs are 'to be borne by Seller'. The Equinor Feedstock Sale and Product Purchase Agreement (47.2.2.2.1) has separate pricing sections (Clauses 11.1-11.5 covering Secured Grade, Fallback, FRN, and Roll-over quantities, plus Clauses 11.6-11.11 for adjustments, reimbursables, costs fee, freight, differentials, and loss factor), but the detailed formula content was not included in the retrieved chunks.</t>
  </si>
  <si>
    <t xml:space="preserve">File - 47.2.1.1.1 Commercial Term Sheet Shell - Feedstock.docx, pg 8
'Price Formula = A + B + C', where A = benchmark, B = Premium/discount
C = "others', and for this answer we want the details of A,B,C, which are (see pg 8 of contract for long details)
Equinor: 
47.2.2.1.1 Equinor - Feedstock Sale and Product Purchase Agreement (EXECUTE.pdf
document page 55. 
Answer: Feedstock market price: Secured Grade Quantities
P = (PM+AD)L, where P = price per barrel of feedstock in US$, 
PM = pricing marker
AD = applicable differential 
L = loss factor. </t>
  </si>
  <si>
    <t>2026-02-24T09:41:02.749557+00:00</t>
  </si>
  <si>
    <t>The extracted value thoroughly covers the Shell feedstock pricing formula (A + B + C) with detailed component breakdowns, matching the reference well for Shell. However, for Equinor, the reference provides a specific formula P = (PM+AD)L with defined components (PM = pricing marker, AD = applicable differential, L = loss factor), while the extraction notes that the Equinor detailed formula was not provided in extracted chunks. This is a significant omission since the reference explicitly includes the Equinor formula as part of the expected answer. The Shell portion is well-captured but the Equinor portion is missing.</t>
  </si>
  <si>
    <t>Feedstock Contract Term</t>
  </si>
  <si>
    <t>feedstock_contract_term</t>
  </si>
  <si>
    <t>Shell: 12; Equinor: 10</t>
  </si>
  <si>
    <t>Shell: Copy of 47.11.3.1 Shell_Binding Term Sheet - Feedstock supply.pdf and Copy of 47.2.1.1.1 Commercial Term Sheet Shell - Feedstock.docx, Section 1: Contract Period; Equinor: Copy (2) of 47.2.2.2.1 Equinor - Feedstock Sale and Product Purchase Agreement.pdf, Section 2.1 Term</t>
  </si>
  <si>
    <t>Volume Contracted</t>
  </si>
  <si>
    <t>Shell (SIETCO) feedstock supply term is 12 years from the Start Date (or until Full Repayment Date, whichever is later), with an optional 5-year extension by mutual agreement. Equinor feedstock supply term is 10 years from the Commercial Operations Date (COD), referred to as the Initial Expiry Date, with possible extensions under Clause 2.4.</t>
  </si>
  <si>
    <t>47.2.1.1.1 Commercial Term Sheet Shell - Feedstock.docx, pg1
1. Shell - Condensate - 12 years
2. Shell - Naphtha - 12 Years
47.2.2.1.1 Equinor - Feedstock Sale and Product Purchase Agreement (EXECUTE.pdf, pg 25, 
10 years. for condensate and full range naphtha</t>
  </si>
  <si>
    <t>2026-02-24T09:41:41.946534+00:00</t>
  </si>
  <si>
    <t>The extracted values correctly identify Shell's feedstock contract term as 12 years and Equinor's as 10 years, matching the reference answer which states Shell condensate and naphtha are 12 years each, and Equinor condensate and full range naphtha are 10 years.</t>
  </si>
  <si>
    <t>Feedstock Contract Term End Year</t>
  </si>
  <si>
    <t>feedstock_contract_term_end_year</t>
  </si>
  <si>
    <t>Equinor: 10th anniversary of the COD (Commercial Operations Date); Shell/SIETCO (PEC): 12 years from the Start Date or the Full Repayment Date, whichever is later; Shell/SIETCO (PSTO/PEC): 12 years from the Start Date or the Full Repayment Date, whichever is later</t>
  </si>
  <si>
    <t>Equinor - Feedstock Sale and Product Purchase Agreement, Section 2.1 Term; Commercial Term Sheet Shell - Feedstock, Section 1: Contract Period; Shell Binding Term Sheet - Feedstock supply, Section 1: Contract Period</t>
  </si>
  <si>
    <t>No fixed calendar end dates are specified. Equinor contract expires on the 10th anniversary of the COD (Commercial Operations Date), which is not a fixed date in these documents. Shell/SIETCO contracts expire 12 years from the Start Date (date first cargo is delivered after PEC Start Date) or the Full Repayment Date of the facility, whichever is later. Both Shell contracts also have optional 5-year extensions by mutual agreement. The Equinor contract also has extension provisions under Clause 2.4. Since COD and Start Dates are not specified as fixed calendar dates, exact end years cannot be determined from the provided documents.</t>
  </si>
  <si>
    <t>Shell - no answer</t>
  </si>
  <si>
    <t>2026-02-24T09:41:35.190082+00:00</t>
  </si>
  <si>
    <t>The reference answer indicates 'no answer' for the Feedstock Contract Term End Year for Shell, meaning a specific end year/date could not be determined. The extracted value provides contract term descriptions (e.g., '12 years from the Start Date or the Full Repayment Date') but does not provide an actual end year/date either. Additionally, the extraction includes Equinor information which was not requested. While the extraction correctly identifies that no specific end year is determinable, it provides descriptive term language rather than acknowledging 'no answer' or 'NOT_FOUND', and it conflates multiple counterparties.</t>
  </si>
  <si>
    <t>Feedstock Contract Term Extension</t>
  </si>
  <si>
    <t>feedstock_contract_term_extension</t>
  </si>
  <si>
    <t>Copy of 47.2.1.1.1 Commercial Term Sheet Shell - Feedstock.docx, Section 1: Feedstock supply, Contract Period; Copy of 47.11.3.1 Shell_Binding Term Sheet - Feedstock supply.pdf, Section 1: Feedstock supply, Contract Period</t>
  </si>
  <si>
    <t>For the Shell/SIETCO feedstock contracts (both the PEC-SIETCO and PSTO/PEC-SIETCO term sheets), the option to extend the Term is by an additional 5 years, if mutually agreed. For the Equinor feedstock contract, the extension period is referenced under Clause 2.4 (Term Extensions) but the specific extension period is not provided in the available chunks. Values per contract: Shell (PEC-SIETCO) = 5 years; Shell (PSTO/PEC-SIETCO) = 5 years; Equinor = NOT_FOUND (Clause 2.4 not provided in context).</t>
  </si>
  <si>
    <t>"47.2.1.1.1 Commercial Term Sheet Shell - Feedstock.docx, pg1
5 years
47.2.2.1.1 Equinor - Feedstock Sale and Product Purchase Agreement (EXECUTE.pdf, pg 27, 
term extension: 2 years</t>
  </si>
  <si>
    <t>2026-02-24T09:41:23.068721+00:00</t>
  </si>
  <si>
    <t>The extracted value of 5 matches the Shell feedstock contract term extension of 5 years, but the reference also contains a second document (Equinor) with a term extension of 2 years. The extraction only captured one of the two relevant values. Additionally, the datapoint asks for 'Contract Term Extension' specifically, and the 5 years from the Shell document appears to be the contract period rather than an extension term, while the Equinor document explicitly states 'term extension: 2 years'. The extracted value may be referencing the wrong figure.</t>
  </si>
  <si>
    <t>Feedstock Contract Term Start Year</t>
  </si>
  <si>
    <t>feedstock_contract_term_start_year</t>
  </si>
  <si>
    <t>Shell (SIETCO) - PEC/PSTO: Start Date is the 1st Day of the Delivery Month in which the first cargo is delivered after PEC Start Date (no fixed calendar year specified); Equinor - PEC: Effective Date is 2023-03-02 (execution date), with term running from Commercial Operations Date (COD) (no fixed calendar year specified for COD)</t>
  </si>
  <si>
    <t>Shell Binding Term Sheet (47.11.3.1 and 47.2.1.1.1) - Section 1: Contract Period; Equinor Feedstock Sale and Product Purchase Agreement (47.2.2.2.1) - Section 2.1 Term and introductory recitals</t>
  </si>
  <si>
    <t>Neither agreement specifies a fixed calendar year for the contract term start. The Shell agreements define the Start Date as the 1st day of the delivery month when the first cargo is delivered after the PEC Start Date (when the Pengerang complex becomes operational) - no specific year is stated. The Equinor agreement was executed on 2 March 2023 (which could be considered the effective date for certain clauses), but the main term runs from the Commercial Operations Date (COD), which is not defined as a specific calendar date in the provided chunks. A specific start year cannot be definitively extracted.</t>
  </si>
  <si>
    <t>2026-02-24T09:41:18.461979+00:00</t>
  </si>
  <si>
    <t>The reference indicates 'no answer' for Shell's feedstock contract term start year. The extracted value correctly identifies that no fixed calendar year is specified for Shell, which aligns with 'no answer.' However, the extraction is overly verbose and also includes Equinor information that wasn't requested. The core finding for Shell—that there is no definitive start year—is consistent with the reference, but the response format and inclusion of extraneous detail reduces the score.</t>
  </si>
  <si>
    <t>Feedstock Contracted Supply Quantity</t>
  </si>
  <si>
    <t>feedstock_contracted_supply_quantity</t>
  </si>
  <si>
    <t>Shell/SIETCO - Condensate: 30,000,000 barrels annually (ACQ, ±10%); Shell/SIETCO - Full Range Naphtha: 170,000 MT annually (ACQ, ±10%); Shell/SIETCO - Quarterly (QCQ): Min 95% of 25% of ACQ, Max 105% of 25% of ACQ; Equinor - Condensate: 150,000 barrels/day (Initial Facility Capacity, shared with Other Feedstock Supplier); Equinor - Full Range Naphtha: 935 MT/day (Initial Facility Capacity, shared with Other Feedstock Supplier)</t>
  </si>
  <si>
    <t>Shell quantities from 'Copy of 47.2.1.1.1 Commercial Term Sheet Shell - Feedstock.docx' and 'Copy of 47.11.3.1 Shell_Binding Term Sheet - Feedstock supply.pdf', Section 1: Contract Quantity. Equinor facility capacity from 'Copy of 47.2.2.2.1 Equinor - Feedstock Sale and Product Purchase Agreement.pdf', Recital (A).</t>
  </si>
  <si>
    <t>1. annually, quarterly, monthly
2. per feedstock supplier
3. per feedstock type
4. per time period</t>
  </si>
  <si>
    <t>Shell/SIETCO: Condensate ACQ is minimum 30 million barrels per Contract Year with ±10% tolerance at Buyer's option/operational tolerance. Full Range Naphtha ACQ is minimum 170 KT per Contract Year with ±10% tolerance. QCQ constrains quarterly deliveries to 95-105% of 25% of ACQ. For Equinor, the specific contracted feedstock quantities (Monthly Feedstock Quantity, Minimum Monthly Feedstock Quantities) are referenced in Section 4 of the Equinor agreement but the actual numerical values are not present in the provided chunks — only the Initial Facility Capacity of 150,000 bbl/day condensate and 935 MT/day FRN is stated, which is the total facility capacity shared between Equinor and Shell. Monthly quantities are subject to the nominations/scheduling process with Monthly Maximum Feedstock Quantity caps.</t>
  </si>
  <si>
    <t xml:space="preserve">47.2.1.1.1 Commercial Term Sheet Shell - Feedstock.docx, pg2
1. Shell - Annual Contracted Quantity - Condensate - minimum of 30 million barrels
2. Shell - Annual Contracted Quantity - Naphtha - minimum of 170 KT
3. Shell - Quarterly - Quarterly Contract Quantity (QCQ):
 Minimum: 95 percent of 25 percent of ACQ - for naphtha &amp; condensate
4. Shell - Quarterly -         Maximum: 105 percent of 25 percent of ACQ -for naphtha &amp; condensate
47.2.2.1.1 Equinor - Feedstock Sale and Product Purchase Agreement (EXECUTE.pdf, pg 30, pg 31
5. Equinor - Condensate 75,000 barrels per day multiplied by the number of days relevant in the contract month
6. Equinor - 935 MT per day multiplied by the number of valid days in the contract month- Full Range Naphtha - 
</t>
  </si>
  <si>
    <t>2026-02-24T09:41:34.491357+00:00</t>
  </si>
  <si>
    <t>The extracted value correctly captures Shell condensate (30 million barrels annually), Shell naphtha (170,000 MT annually), Shell QCQ min/max percentages, and Equinor naphtha (935 MT/day). However, the Equinor condensate quantity is wrong: the extraction states 150,000 barrels/day (described as 'Initial Facility Capacity, shared with Other Feedstock Supplier') whereas the reference specifies 75,000 barrels/day for Equinor's contracted quantity. This is a significant factual error on one of the key datapoints. The other values are largely correct.</t>
  </si>
  <si>
    <t>Feedstock Contracted Supply Quantity Units</t>
  </si>
  <si>
    <t>feedstock_contracted_supply_quantity_units</t>
  </si>
  <si>
    <t>Shell - Condensate: barrels; Shell - Full Range Naphtha: KT (kilotonnes); Equinor - Condensate: Barrels per day; Equinor - FRN: MT per day</t>
  </si>
  <si>
    <t>Copy of 47.2.1.1.1 Commercial Term Sheet Shell - Feedstock.docx, Section: Contract Quantity; Copy of 47.11.3.1 Shell_Binding Term Sheet - Feedstock supply.pdf, Section: Contract Quantity; Copy of 47.2.2.2.1 Equinor - Feedstock Sale and Product Purchase Agreement.pdf, Recital (A)</t>
  </si>
  <si>
    <t>1. per feedstock supplier
2. per feedstock type</t>
  </si>
  <si>
    <t>Shell agreements specify Condensate ACQ in 'million barrels' (annually) and Full Range Naphtha ACQ in 'KT' (kilotonnes, annually). The Equinor agreement references Initial Facility Capacity of 150,000 Barrels per day for condensate and 935 MT per day for FRN, but the detailed contracted quantity units (from Section 4 - Quantities) were not available in the provided chunks. For Shell: Condensate = barrels (annual basis); FRN = KT (annual basis). For Equinor: Condensate = Barrels/day; FRN = MT/day (capacity basis - actual contracted quantity units from Section 4 not provided in context).</t>
  </si>
  <si>
    <t>1. Shell - 47.2.1.1.1 Commercial Term Sheet Shell - Feedstock.docx - pg2 
condensate units: barrels
naphtha - KT
2. Equinor - 47.2.2.1.1 Equinor - Feedstock Sale and Product Purchase Agreement (EXECUTE.pdf- pg 30 -
Condensate - barrel
Naphtha - MT 
- this is all overa the agreement</t>
  </si>
  <si>
    <t>2026-02-24T09:41:11.602258+00:00</t>
  </si>
  <si>
    <t>The extracted value correctly identifies Shell condensate units as 'barrels' and Shell naphtha as 'KT', matching the reference. For Equinor, the units are correctly identified as barrels for condensate and MT for naphtha, but the extraction adds qualifiers 'per day' (Barrels per day, MT per day) which are not mentioned in the reference. The core units match but the 'per day' additions introduce inaccuracy or at least extra specificity not confirmed by the reference.</t>
  </si>
  <si>
    <t>Feedstock Delivery Channel</t>
  </si>
  <si>
    <t>feedstock_delivery_channel</t>
  </si>
  <si>
    <t>Free into Pipeline (FIP): Delivery as feedstock passes the battery limit of the Feedstock Storage Facilities (primary delivery channel); Delivery at Place by vessel (DAP): Delivery as feedstock passes the vessel's permanent hose connection at the discharge port to receiving lines at the Feedstock Marine Facilities (fallback if FIP requirements cannot be fulfilled)</t>
  </si>
  <si>
    <t>Copy of 47.2.1.1.1 Commercial Term Sheet Shell - Feedstock.docx and Copy of 47.11.3.1 Shell_Binding Term Sheet - Feedstock supply.pdf, Section 1: Feedstock supply, Delivery Terms</t>
  </si>
  <si>
    <t>Transportation Capacity</t>
  </si>
  <si>
    <t>1. per feedstock type
2. per feedstock contract</t>
  </si>
  <si>
    <t>The delivery channels apply to all feedstock types (condensate, light crude, and naphtha) under both Shell feedstock contracts. FIP is the primary channel, with DAP as fallback. Both contracts (PEC-SIETCO and PSTO/PEC-SIETCO) specify the same two delivery channels with identical terms. No differentiation of delivery channel is made per feedstock type — the same FIP/DAP structure applies to all feedstocks.</t>
  </si>
  <si>
    <t>Shell - 47.2.1.1.1 Commercial Term Sheet Shell - Feedstock.docx - pg2 
Ans: FIP (Free into pipeline) OR DAP (delivery at place) by vessel
Equinor - not found in contract</t>
  </si>
  <si>
    <t>2026-02-24T09:40:47.666693+00:00</t>
  </si>
  <si>
    <t>The extracted value correctly identifies both delivery channels: FIP (Free into Pipeline) and DAP (Delivery at Place) by vessel, matching the reference answer. The extracted value provides additional detail about the definitions and conditions of each channel, but the core factual content is the same. The source document also matches correctly.</t>
  </si>
  <si>
    <t>Feedstock Delivery Frequency</t>
  </si>
  <si>
    <t>feedstock_delivery_frequency</t>
  </si>
  <si>
    <t>Monthly (per Feedstock Delivery Month), with nominations process starting at M-4 and deliveries scheduled within each Feedstock Delivery Month via Transfer Schedules specifying laydays (5-day ranges for DAP, 2-day windows for FIP)</t>
  </si>
  <si>
    <t>Copy of 47.2.1.1.1 Commercial Term Sheet Shell - Feedstock.docx and Copy of 47.11.3.1 Shell_Binding Term Sheet - Feedstock supply.pdf, Section 1: Feedstock supply, Nominations process; Copy of 47.2.2.2.1 Equinor - Feedstock Sale and Product Purchase Agreement.pdf, Sections 4 (Quantities) and 5 (Scheduling Feedstock and Product)</t>
  </si>
  <si>
    <t>Both Shell and Equinor contracts structure deliveries on a monthly basis. The Shell term sheets reference 'Feedstock Delivery Month' as the core delivery period, with multiple cargo deliveries within each month scheduled via Transfer Schedules. For condensate and light crude (Shell): multiple cargoes per month with 5-day laydays (DAP) or 2-day transfer windows (FIP). For naphtha (Shell): same monthly structure with similar layday provisions. The Equinor agreement references Monthly Feedstock Quantity (Section 4.1), Firm Monthly Feedstock Programme (Section 5.7), and Daily Nomination of Feedstock (Section 5.8), indicating monthly scheduling with daily operational nominations. No single fixed frequency (e.g., 'weekly') is stated; rather, deliveries occur as multiple cargo parcels within each month per the agreed Transfer Schedule.</t>
  </si>
  <si>
    <t>Shell - 47.2.1.1.1 Commercial Term Sheet Shell - Feedstock.docx - pg5
Answer: month</t>
  </si>
  <si>
    <t>2026-02-24T09:41:08.466020+00:00</t>
  </si>
  <si>
    <t>The extracted value identifies the feedstock delivery frequency as 'Monthly (per Feedstock Delivery Month)', which matches the reference answer of 'month'. The extracted value provides additional detail about the nominations process and scheduling specifics, but the core answer—monthly delivery frequency—is correct.</t>
  </si>
  <si>
    <t>Feedstock Quality Specification</t>
  </si>
  <si>
    <t>feedstock_quality_specification</t>
  </si>
  <si>
    <t>Condensate: normal export quality as per produced (basket of pre-agreed grades); Full Range Naphtha: N+2A Min 35.0%, 50% Distillation Min 85°C</t>
  </si>
  <si>
    <t>array</t>
  </si>
  <si>
    <t>Copy of 47.11.3.1 Shell_Binding Term Sheet - Feedstock supply.pdf, Section 1: Feedstock supply, Grade &amp; Quality</t>
  </si>
  <si>
    <t>Per feedstock type</t>
  </si>
  <si>
    <t>For Condensate, no specific numeric quality parameters (e.g., density, moisture) are provided — the specification is simply 'normal export quality as per produced' with quality determined at port of loading via SIETCO certificates (final and binding). For Full Range Naphtha, two quantitative specifications are given: N+2A minimum 35.0% and 50% Distillation minimum 85°C. The documents list 22+ pre-agreed condensate grades but do not provide individual grade-level quality specifications (e.g., API gravity, sulphur content, etc.).</t>
  </si>
  <si>
    <t>Engineering Documents - 47.2.2.2.1 Equinor - Feedstock Sale and Product Purchase Agreemen.pdf
pg 47, feeds table from 3.0 determines the quality required</t>
  </si>
  <si>
    <t>2026-02-24T09:40:34.901611+00:00</t>
  </si>
  <si>
    <t>The extracted value provides specific feedstock quality specifications (Condensate and Full Range Naphtha details) from a Shell binding term sheet, while the reference points to a different document (Equinor Feedstock Sale and Product Purchase Agreement, pg 47, feeds table from section 3.0). The extracted value does contain feedstock quality specifications, which is the correct datapoint type, but it appears to be sourced from a different document than the reference answer indicates. The reference specifically points to an Equinor agreement's feeds table as the ground truth for quality requirements, suggesting the extraction may be incomplete or from the wrong source.</t>
  </si>
  <si>
    <t>Feedstock Seller's Entity</t>
  </si>
  <si>
    <t>feedstock_seller's_entity</t>
  </si>
  <si>
    <t>Shell International Eastern Trading Company (SIETCO); Equinor ASA</t>
  </si>
  <si>
    <t>Copy of 47.2.1.1.1 Commercial Term Sheet Shell - Feedstock.docx (Parties section); Copy of 47.11.3.1 Shell_Binding Term Sheet - Feedstock supply.pdf (Parties section); Copy of 47.2.2.2.1 Equinor - Feedstock Sale and Product Purchase Agreemen.pdf (Preamble)</t>
  </si>
  <si>
    <t>Supplier Concentration</t>
  </si>
  <si>
    <t>1. Per feedstock contract</t>
  </si>
  <si>
    <t>Two feedstock suppliers identified across the feedstock supply agreements: (1) Shell International Eastern Trading Company (SIETCO), the Seller under the Shell Binding Term Sheets, and (2) Equinor ASA, the feedstock supplier under the Equinor Feedstock Sale and Product Purchase Agreement. The Equinor agreement also references an 'Other Feedstock Supplier' (which contextually is Shell/SIETCO), confirming that these two entities collectively supply all condensate and naphtha to the Facility on an exclusive basis.</t>
  </si>
  <si>
    <t>To be inferred from documents.
1. Shell International Eastern Trading Company, pg 1 of 1. Shell - 47.2.1.1.1 Commercial Term Sheet Shell - Feedstock.docx
2. Equinor, ASA - pg 1 of 47.2.2.1.1 Equinor - Feedstock Sale and Product Purchase Agreement (EXECUTE.pdf</t>
  </si>
  <si>
    <t>2026-02-24T09:40:31.205497+00:00</t>
  </si>
  <si>
    <t>The extracted value correctly identifies both feedstock sellers: Shell International Eastern Trading Company (SIETCO) and Equinor ASA, matching the reference answer's two entities. The sources also align with the reference documents.</t>
  </si>
  <si>
    <t>Feedstock Storage Capacity</t>
  </si>
  <si>
    <t>feedstock_storage_capacity</t>
  </si>
  <si>
    <t>Naphtha: 45,714 cbm</t>
  </si>
  <si>
    <t>Copy of 47.3.5.1.2.1.1 PEC TSA dated 15 May 2.docx, Schedule A - Capacity and Infrastructure</t>
  </si>
  <si>
    <t>Storage &amp; Handling Agreement / Plan</t>
  </si>
  <si>
    <t>per type of feedstock</t>
  </si>
  <si>
    <t>The TSA Schedule A lists storage capacity per product type. For feedstock specifically, only Naphtha is listed with 1 tank of 45,714 cbm. Condensate feedstock storage capacity is not specified in this document - the Shell Binding Term Sheet references dedicated storage tanks for SIETCO's exclusive use at Pengerang Independent Terminal or Pengerang Deepwater Terminal Phase 3, but does not specify the capacity in cubic meters. The other tanks listed in Schedule A (Paraxylene: 118,469 cbm; Benzene: 51,354 cbm; Jet-kero: 102,828 cbm; Diesel: 113,450 cbm; Light Naphtha Blend: 97,946 cbm; LSFO: 61,607 cbm) are products rather than feedstocks. A dedicated Storage &amp; Handling Agreement/Plan with explicit feedstock storage capacity per feedstock type was not found in the provided context.</t>
  </si>
  <si>
    <t>Condensate - 820,000 M^3
naphtha - 45,714 m^3</t>
  </si>
  <si>
    <t>2026-02-24T09:40:18.799751+00:00</t>
  </si>
  <si>
    <t>The extracted value correctly identifies the naphtha feedstock storage capacity as 45,714 cbm, which matches the reference value. However, it is missing the condensate storage capacity of 820,000 M^3, which is also part of the feedstock storage capacity. Only one of two feedstock storage values was captured.</t>
  </si>
  <si>
    <t>Feedstock Take-or-pay Minimum Quantity</t>
  </si>
  <si>
    <t>feedstock_take-or-pay_minimum_quantity</t>
  </si>
  <si>
    <t>Copy of 47.11.3.1 Shell_Binding Term Sheet - Feedstock supply.pdf and Copy of 47.2.1.1.1 Commercial Term Sheet Shell - Feedstock.docx, Section 1: Feedstock supply</t>
  </si>
  <si>
    <t>urance</t>
  </si>
  <si>
    <t>per supplier per month</t>
  </si>
  <si>
    <t>The documents confirm that 'take or pay provisions to apply (where applicable)' but do not specify a minimum monthly take-or-pay quantity. Contract quantities are defined on an annual basis (Condensate: minimum 30 million barrels ACQ; Full Range Naphtha: minimum 170 KT ACQ, both ±10%) and on a quarterly basis (QCQ: 95-105% of 25% of ACQ), but no per-month minimum take-or-pay volume is explicitly stated in the provided context.</t>
  </si>
  <si>
    <t>1. Shell - 47.2.1.1.1 Commercial Term Sheet Shell - Feedstock.docx - pg 2
Answer:
same as minimum feedstock quantity.  27million barrels per year of condensate, and 
10% on top of 170KT of naphtha which is 153KT per year.</t>
  </si>
  <si>
    <t>2026-02-24T09:40:00.916152+00:00</t>
  </si>
  <si>
    <t>Extraction failed but reference answer exists</t>
  </si>
  <si>
    <t>First Full Year CFADS</t>
  </si>
  <si>
    <t>first_full_year_cfads</t>
  </si>
  <si>
    <t>Output_Annual!Cash flow available for debt service (2030)</t>
  </si>
  <si>
    <t>Unit: USDk. Matched row: Cash available for debt service</t>
  </si>
  <si>
    <t>2026-02-24T09:43:16.703890+00:00</t>
  </si>
  <si>
    <t>First Full Year COGS</t>
  </si>
  <si>
    <t>first_full_year_cogs</t>
  </si>
  <si>
    <t>Output_Annual!Total feedstock cost (2030)</t>
  </si>
  <si>
    <t>Unit: USDk. Matched row: Total feedstock cost</t>
  </si>
  <si>
    <t>2026-02-24T09:43:16.572117+00:00</t>
  </si>
  <si>
    <t>First Full Year Operating Margin</t>
  </si>
  <si>
    <t>first_full_year_operating_margin</t>
  </si>
  <si>
    <t>EBIT: Output_Annual!EBIT (2030), Revenue: Output_Annual!Total revenue (2030)</t>
  </si>
  <si>
    <t>EBIT (474,170) / Revenue (5,415,615) = 8.76%. Unit: USDk</t>
  </si>
  <si>
    <t>2026-02-24T09:43:16.734327+00:00</t>
  </si>
  <si>
    <t>First Full Year OpEx</t>
  </si>
  <si>
    <t>first_full_year_opex</t>
  </si>
  <si>
    <t>Output_Annual!Total variable cost (2030) + Output_Annual!Total fixed cost (2030)</t>
  </si>
  <si>
    <t>Unit: USDk. Sum of variable (-75,257) + fixed (-187,102)</t>
  </si>
  <si>
    <t>2026-02-24T09:43:16.618536+00:00</t>
  </si>
  <si>
    <t>First Full Year Revenue</t>
  </si>
  <si>
    <t>first_full_year_revenue</t>
  </si>
  <si>
    <t>Output_Annual!Total revenue (2030)</t>
  </si>
  <si>
    <t>Unit: USDk. Direct from Financial Model Output_Annual.</t>
  </si>
  <si>
    <t>2026-02-24T09:43:16.554833+00:00</t>
  </si>
  <si>
    <t>Insurance Coverage</t>
  </si>
  <si>
    <t>insurance_coverage</t>
  </si>
  <si>
    <t>2450000000;900000000;300000000;250000000;100000000;50000000;100000000</t>
  </si>
  <si>
    <t>Copy of 47.8.1.3 Insurance Report_Bankserve.pdf, Section 2 - Executive Summary, Section 2.2 Construction and Operational Phases Insurances; Section 4.4 Construction All Risks</t>
  </si>
  <si>
    <t>Insurance Policies</t>
  </si>
  <si>
    <t>Insurance &amp; Warranty Risk</t>
  </si>
  <si>
    <t>There is no single 'Insurance Coverage' dollar amount; the project has multiple insurance policies with different coverage limits. Key coverages include: Construction All Risks: US$2,450,000,000 (full contract value); Physical Damage EML: US$900,000,000; Terrorism: US$300,000,000 (combined with DSU); Delay in Start-Up: US$250,000,000; Marine Cargo: US$100,000,000; Third Party Liability (Construction): US$50,000,000; Third Party Liability (Operational): US$100,000,000. The largest single coverage figure is the Construction All Risks at US$2,450,000,000. All values in USD.</t>
  </si>
  <si>
    <t>Document not provided</t>
  </si>
  <si>
    <t>2026-02-24T09:39:49.986117+00:00</t>
  </si>
  <si>
    <t>NOT_COMPARABLE</t>
  </si>
  <si>
    <t>The reference answer states 'Document not provided', meaning there is no ground truth to compare against. The extracted value contains multiple numeric figures but cannot be validated without a reference.</t>
  </si>
  <si>
    <t>List of Offtake Products Contracted</t>
  </si>
  <si>
    <t>list_of_offtake_products_contracted</t>
  </si>
  <si>
    <t>Product (likely LNG/commodity product from condensate splitter and aromatics complex); Hydrogen</t>
  </si>
  <si>
    <t>Copy of 47.2.3.1.2 01_Product Offtake Agreement - PEC v Mitsui Co. Ltd (fully s.pdf; Copy of 47.2.5.1.2 01_Hydrogen Offtake Agreement.pdf; Copy of 47.2.1.2.1 Commercial Term Sheet Shell _ Offtake.docx</t>
  </si>
  <si>
    <t>Binding Term Sheet / Sales &amp; Purchase Agreement / Offtake Agreement</t>
  </si>
  <si>
    <t>09. Offtake</t>
  </si>
  <si>
    <t>Offtake Coverage Ratio (General)</t>
  </si>
  <si>
    <t>Offtake</t>
  </si>
  <si>
    <t>Two distinct offtake agreements are identified: (1) A Product Offtake Agreement between PEC and Mitsui &amp; Co. Ltd covering 'Product' (specific product name is redacted/not explicitly stated but the project involves a condensate splitter and aromatics complex, so products likely include naphtha, condensate, aromatics, etc.), and (2) a Hydrogen Offtake Agreement covering Hydrogen. Additionally, a Binding Term Sheet between PEC and Shell (SIETCO) covers product offtake from the condensate splitter and aromatics complex. The exact product names under the PEC-Mitsui and PEC-Shell agreements are not explicitly listed in the available chunks as the detailed product specifications are in Schedule A / Schedule F which are not provided in the context.</t>
  </si>
  <si>
    <t>2026-02-24T09:40:00.377023+00:00</t>
  </si>
  <si>
    <t>List of Products Manufactured</t>
  </si>
  <si>
    <t>list_of_products_manufactured</t>
  </si>
  <si>
    <t>Copy of 47.3.2.1.1.1.2 02_UOP En.pdf, Article 1 (Background) - referenced but not included in provided chunks</t>
  </si>
  <si>
    <t>Engineering Agreement (Tech Supplier)</t>
  </si>
  <si>
    <t>06. Technology</t>
  </si>
  <si>
    <t>The Engineering Agreement references Article 1 (Background) as the place where the Complex, UOP Units (Article 1(a)), and Recovery Units (Article 1(b)) are defined, but Article 1 is not included in the provided document chunks. From contextual clues across the documents, the following process units can be inferred: Light Ends Recovery, Naphtha Hydrotreating, CCR Platforming, Kerosene Unionfining, Diesel Unionfining (from the Long Lead Items table in Section 2.10), Sulfur Recovery Block (from Schedule A.3), and from the Amendment document: Benzene-Toluene Fractionation, Xylenes Fractionation, Tatoray Process Unit, Isomar Process Unit, Sulfolane Process Unit (Extractive Distillation), Parex Process Unit, and Condensate Fractionation Unit (CFU). However, the actual 'List of Products Manufactured' by the plant is not explicitly stated in the provided context — only process units are referenced, not final products.</t>
  </si>
  <si>
    <t xml:space="preserve">
engineering document: 
C3 LPG, 
C4 LPG, 
Light Naphtha,
Benzene, 
para-xylene, 
kerosene, 
diesel,
fuel oil,
hydrogen rich gas,
fuel gas,
Sulfur</t>
  </si>
  <si>
    <t>2026-02-24T09:40:09.959387+00:00</t>
  </si>
  <si>
    <t>Loan life</t>
  </si>
  <si>
    <t>loan_life</t>
  </si>
  <si>
    <t>Copy of 47.1.6 06_PEC Pitch_Jan 26_Sub Debt.pdf</t>
  </si>
  <si>
    <t>Pitch Deck</t>
  </si>
  <si>
    <t>The provided chunks do not explicitly state the loan tenor/life in years. There is a reference to a mandatory cash sweep designed to reduce the Senior Secured ECA debt tenor by 3 years, and a Loan Life Coverage Ratio (LLCR) is mentioned, but the actual loan life/tenor value is not directly stated in the extracted context. Additional sections of the pitch deck may contain this information.</t>
  </si>
  <si>
    <t>from pitch book, 10 years, including construction</t>
  </si>
  <si>
    <t>2026-02-24T09:40:11.710644+00:00</t>
  </si>
  <si>
    <t>Location of storage terminals</t>
  </si>
  <si>
    <t>location_of_storage_terminals</t>
  </si>
  <si>
    <t>PITSB; Dialog PDT Phase 3</t>
  </si>
  <si>
    <t>Copy of 47.3.5.1.1.1.1 Dialog Signed Ter.pdf, APPENDIX A - COMMERCIAL PROPOSAL, Sections 2.2, 2.4</t>
  </si>
  <si>
    <t>The commercial proposal identifies two terminal locations: (1) PITSB (Pengerang Integrated Storage Terminal Berhad) for condensate storage, and (2) Dialog PDT Phase 3 for other products (sour naphtha, paraxylene, benzene, jet-kero, diesel, light naphtha blend, LSFO, propane, butane). Section 2.2 notes that exact and final terminal location is subject to DIALOG's overall planning and development in PDT. Section 2.6(d) also clarifies that location of the tank terminal facilities is tentative depending on availability of land when the project is implemented.</t>
  </si>
  <si>
    <t>pengerang, johor</t>
  </si>
  <si>
    <t>2026-02-24T09:40:21.207449+00:00</t>
  </si>
  <si>
    <t>The extracted value mentions 'PITSB' and 'Dialog PDT Phase 3', which are facility/terminal names associated with Pengerang, Johor (PITSB likely refers to Pengerang Integrated Terminal Sdn Bhd, and Dialog PDT is the Pengerang Deepwater Terminal). However, the reference answer specifies the location as 'Pengerang, Johor' (a geographic location), while the extraction provides terminal/facility names rather than the actual location. The connection exists but the extracted value does not directly state the location.</t>
  </si>
  <si>
    <t>Longstop Duration</t>
  </si>
  <si>
    <t>longstop_duration</t>
  </si>
  <si>
    <t>Copy of 47.3.1.1.1.1 EPCC Contract - CNCEC+PEC.docx, Section: COMPLETION AND ACCEPTANCE &gt; Delay to Performance Tests</t>
  </si>
  <si>
    <t>EPCC Contract</t>
  </si>
  <si>
    <t>The Performance Testing Delay Longstop Date is defined as eighteen (18) months after the Date of Mechanical Completion. This appears to be the primary 'Longstop' duration referenced in the EPCC Contract. However, the provided context does not contain an explicit clause titled 'Longstop Date' for overall project completion (e.g., a final longstop date for the entire project), so this may only represent the Performance Testing Delay Longstop duration. If a different longstop duration (e.g., for overall project completion) exists elsewhere in the contract, it was not found in the provided chunks.</t>
  </si>
  <si>
    <t>47.11.5.1 EPCC Contract - (W&amp;C Draft_ 18 Nov 2025).docx
pg 80
(a)        If, by the date which is six (6) months after the Date of Mechanical Completion (the “Performance Testing Delay Longstop Date”):</t>
  </si>
  <si>
    <t>2026-02-24T09:40:26.560718+00:00</t>
  </si>
  <si>
    <t>The extracted value is 18 (presumably months), but the reference answer indicates the Longstop Duration is 6 months (six months after the Date of Mechanical Completion). The extracted value of 18 does not match the reference value of 6.</t>
  </si>
  <si>
    <t>Maximum Contracted Deliverable Volume</t>
  </si>
  <si>
    <t>maximum_contracted_deliverable_volume</t>
  </si>
  <si>
    <t>Condensate: 33000000 barrels (30M + 10%); Full Range Naphtha: 187 KT (170 KT + 10%)</t>
  </si>
  <si>
    <t>Copy of 47.2.1.1.1 Commercial Term Sheet Shell - Feedstock.docx and Copy of 47.11.3.1 Shell_Binding Term Sheet - Feedstock supply.pdf, Section 1: Feedstock supply, Contract Quantity</t>
  </si>
  <si>
    <t>per supplier 
per year
per feedstock</t>
  </si>
  <si>
    <t>The documents do not explicitly state a 'Maximum Contracted Deliverable Volume' as a named term. However, the ACQ is defined with ±10% tolerance at Buyer's option/operational tolerance. The maximum annual volume the supplier can deliver under the contract would be the ACQ plus 10%: Condensate = 30 million barrels + 10% = 33 million barrels; Full Range Naphtha = 170 KT + 10% = 187 KT. Additionally, the Quarterly Contract Quantity maximum is 105% of 25% of ACQ. These are Shell/SIETCO supply terms. The Equinor agreement (47.2.2.2.1) references Initial Facility Capacity of 150,000 barrels/day condensate and 935 MT/day FRN but detailed volume terms were not provided in the retrieved chunks. No year-by-year breakdown is available; volumes appear to be constant annual quantities across the 12-year term.</t>
  </si>
  <si>
    <t>1. Shell - 47.2.1.1.1 Commercial Term Sheet Shell - Feedstock.docx - pg 2
Answer: 33million barrels per year of condensate, and 
10% on top of 170KT of naphtha which is 187KT per year.
Equinor - can't find</t>
  </si>
  <si>
    <t>2026-02-24T09:40:36.531433+00:00</t>
  </si>
  <si>
    <t>The extracted values match the reference: Condensate at 33 million barrels (matching '33million barrels per year') and Full Range Naphtha at 187 KT (matching '10% on top of 170KT of naphtha which is 187KT per year'). The extracted value correctly captures both components. Minor deduction because the extraction shows '30M + 10%' for condensate which isn't explicitly stated in the reference (the reference says 33 million barrels directly), but the final number of 33,000,000 barrels is correct.</t>
  </si>
  <si>
    <t>Maximum Delay Liquidated Damages (% of contract price)</t>
  </si>
  <si>
    <t>maximum_delay_liquidated_damages_(%_of_contract_price)</t>
  </si>
  <si>
    <t>Copy of 47.11.5.1 EPCC Contract - (W&amp;C Draft_ 18 Nov 2025).docx, Sub-Clause 16.4(c)(i); Copy of 47.3.1.1.1.1 EPCC Contract - CNCEC+PEC.docx, Sub-Clause 16.4(c)(i)</t>
  </si>
  <si>
    <t>Both EPCC contracts cap IA Delay Liquidated Damages (the schedule/time-related liquidated damages) at 10% of the Contract Price. This is consistent across both the W&amp;C Draft (18 Nov 2025) and the CNCEC+PEC contract. The daily rate is 0.06% of Contract Price per day of delay, but the maximum cap is 10% of Contract Price.</t>
  </si>
  <si>
    <t>EPCC Contract, 47.3.1.1.1.1 EPCC Contract - CNCEC+PEC.docx, pg97 of document, 
Ans: for IA Delay Liquidated Damages, shall be ten percent (10%) of the Contract Price; and</t>
  </si>
  <si>
    <t>2026-02-24T09:40:37.546803+00:00</t>
  </si>
  <si>
    <t>The extracted value of 10% matches the reference answer of 'ten percent (10%) of the Contract Price' for the maximum Delay Liquidated Damages as a percentage of the contract price.</t>
  </si>
  <si>
    <t>Maximum Feedstock Cargo Volume</t>
  </si>
  <si>
    <t>maximum_feedstock_cargo_volume</t>
  </si>
  <si>
    <t>Contract 1 (Shell - PEC): FIP/Condensate: 600000 barrels; FIP/Full Range Naphtha: 25000 MT; DAP/Condensate: 2000000 barrels; DAP/Full Range Naphtha: 75000 MT; Contract 2 (Shell - PSTO/PEC): FIP/Condensate: 600000 barrels; FIP/Full Range Naphtha: 25000 MT; DAP/Condensate: 2000000 barrels; DAP/Full Range Naphtha: 75000 MT</t>
  </si>
  <si>
    <t>Chunk 1: Copy of 47.11.3.1 Shell_Binding Term Sheet - Feedstock supply.pdf, Section 'Cargo Volume'; Chunk 2: Copy of 47.2.1.1.1 Commercial Term Sheet Shell - Feedstock.docx, Section 'Cargo Volume'</t>
  </si>
  <si>
    <t>1. per feedstock contract
2. per channel
3. per feedstock</t>
  </si>
  <si>
    <t>Maximum cargo volumes are the upper bounds of the stated parcel size ranges. Both contracts share the same maximums except for FIP Condensate: Contract 1 (47.11.3.1, PSTO/PEC) states FIP Condensate min as 10,000 bbl while Contract 2 (47.2.1.1.1, PEC) states 100,000 bbl, but the maximum is 600,000 bbl in both. These upper bounds are subject to ±5% tolerance for condensate and ±10% for naphtha at Seller's option. Condensate is measured in barrels; Full Range Naphtha in metric tons (MT).</t>
  </si>
  <si>
    <t>1. Shell - 47.2.1.1.1 Commercial Term Sheet Shell - Feedstock.docx - pg 4
Each feedstock cargo will be supplied by the Seller as per below parcel size and grades:
FIP channel (risk and title as feedstock passes the battery limit of the Feedstock Storage Facilities)
• Condensate:
o 100,000 to 600,000 barrels ±5% at Seller’s option
• Full Range Naphtha:
o 10,000MT to 25,000MT ±10% at Seller’s option
• Any deviation to a parcel size shall be mutually agreed between the Parties
DAP channel (risk and title to pass at vessel’s flange at discharge port)
• Condensate:
o 200,000 to 2,000,000 barrels ±5% at Seller’s option
• Full Range Naphtha:
o 25,000MT to 75,000MT ±10% at Seller’s option
Seller will have the right to co-load any grade that the Seller deems appropriate depending on the Buyer’s demand and subject to mutual agreement.
Equinor - can't find</t>
  </si>
  <si>
    <t>2026-02-24T09:40:47.666777+00:00</t>
  </si>
  <si>
    <t>The extracted values correctly identify the maximum values from the cargo volume ranges (600,000 barrels, 25,000 MT, 2,000,000 barrels, 75,000 MT), matching the upper bounds in the reference. However, the extraction omits the minimum values and the tolerance percentages (±5%, ±10%), which are important parts of the cargo volume specification. Additionally, the extracted value presents data from two contracts as if they were separate, when the reference only confirms one source document. The datapoint asks for a single float value for 'Maximum Feedstock Cargo Volume,' but the extraction provides multiple values across different categories without consolidating to a single number.</t>
  </si>
  <si>
    <t>Maximum Performance Liqudated Damages (% of contract price)</t>
  </si>
  <si>
    <t>maximum_performance_liqudated_damages_(%_of_contract_price)</t>
  </si>
  <si>
    <t>CNCEC+PEC: 10%; W&amp;C Draft: 10%</t>
  </si>
  <si>
    <t>Sub-Clause 16.4 (Limitation of Liability) in both 'Copy of 47.3.1.1.1.1 EPCC Contract - CNCEC+PEC.docx' and 'Copy of 47.11.5.1 EPCC Contract - (W&amp;C Draft_ 18 Nov 2025).docx'</t>
  </si>
  <si>
    <t>EPC Contract Delivery Risk</t>
  </si>
  <si>
    <t>Both contracts cap the maximum Performance Liquidated Damages at 10% of the Contract Price. Sub-Clause 16.4(c) in both contracts states: 'for Performance Liquidated Damages, shall be ten percent (10%) of the Contract Price'. Additionally, the aggregate cap for IA Delay LDs and Performance LDs combined is 20% of Contract Price in both contracts.</t>
  </si>
  <si>
    <t>EPCC Contract, 47.3.1.1.1.1 EPCC Contract - CNCEC+PEC.docx, pg97 of document, 
(ii)	for Performance Liquidated Damages, shall be ten percent (10%) of the Contract Price; and</t>
  </si>
  <si>
    <t>2026-02-24T09:40:47.666828+00:00</t>
  </si>
  <si>
    <t>The extracted value correctly identifies the Maximum Performance Liquidated Damages as 10% of the Contract Price for the CNCEC+PEC contract, matching the reference answer. The extraction also includes the W&amp;C Draft value (also 10%), which is additional but not contradictory information. The source clause (Sub-Clause 16.4 Limitation of Liability) and document are consistent with the reference.</t>
  </si>
  <si>
    <t>Maximum Total Liquidated Damanges (% of contract price)</t>
  </si>
  <si>
    <t>maximum_total_liquidated_damanges_(%_of_contract_price)</t>
  </si>
  <si>
    <t>W&amp;C Draft (18 Nov 2025): 20% of the Contract Price; CNCEC+PEC: 20% of the Contract Price</t>
  </si>
  <si>
    <t>Copy of 47.11.5.1 EPCC Contract - (W&amp;C Draft_ 18 Nov 2025).docx, Sub-Clause 16.4(c); Copy of 47.3.1.1.1.1 EPCC Contract - CNCEC+PEC.docx, Sub-Clause 16.4(c)</t>
  </si>
  <si>
    <t>Both contracts cap the aggregate of IA Delay Liquidated Damages and Performance Liquidated Damages (the two categories of liquidated damages) at 20% of the Contract Price. This is the maximum total liquidated damages cap. Note that the total overall Contractor liability cap differs between the two contracts (40% for W&amp;C Draft vs 20% for CNCEC+PEC), but the total liquidated damages cap is 20% in both.</t>
  </si>
  <si>
    <t>"EPCC Contract, 47.3.1.1.1.1 EPCC Contract - CNCEC+PEC.docx, pg97 of document, 
(ii)        for Performance Liquidated Damages, shall be ten percent (10%) of the Contract Price; and"</t>
  </si>
  <si>
    <t>2026-02-24T09:40:54.693137+00:00</t>
  </si>
  <si>
    <t>The reference answer specifies that the maximum total liquidated damages for Performance Liquidated Damages is 10% of the Contract Price (from the CNCEC+PEC document). The extracted value states 20% of the Contract Price for both documents. The 20% figure likely refers to the overall aggregate cap, while the reference specifically points to the Performance LD sub-cap of 10%. The extracted value does not match the specific datapoint referenced in the ground truth.</t>
  </si>
  <si>
    <t>Minimum Contracted Deliverable Volume</t>
  </si>
  <si>
    <t>minimum_contracted_deliverable_volume</t>
  </si>
  <si>
    <t>Condensate: 27000000 barrels; Full Range Naphtha: 153000 MT</t>
  </si>
  <si>
    <t>Copy of 47.2.1.1.1 Commercial Term Sheet Shell - Feedstock.docx, Section 1: Feedstock supply, Contract Quantity</t>
  </si>
  <si>
    <t>1. per feedstock contract
2. per feestock</t>
  </si>
  <si>
    <t>The minimum contracted deliverable volume is derived from the ACQ with the -10% tolerance at Buyer's option. For Condensate: 30,000,000 barrels × (1 - 10%) = 27,000,000 barrels. For Full Range Naphtha: 170 KT × (1 - 10%) = 153 KT (153,000 MT). The term sheet states 'Baseline ACQ of a minimum of 30 million barrels... ±10% at Buyer's option' for Condensate and 'ACQ of a minimum of 170 KT... ±10% at Buyer's option' for Naphtha. Take or pay provisions apply per the companion document (47.11.3.1). These are annual quantities per Contract Year.</t>
  </si>
  <si>
    <t>1. Shell - 47.2.1.1.1 Commercial Term Sheet Shell - Feedstock.docx - pg 2
Answer: 27million barrels per year of condensate, and 
10% on top of 170KT of naphtha which is 153KT per year.
47.2.2.1.1 Equinor - Feedstock Sale and Product Purchase Agreement (EXECUTE.pdf,  pg 31
Minimum 50,000 condensate per day multiplied by the number of days in the relevant contract month
 935 MT of FRN per day multiplied by the number of days in the Contract
Month to be supplied to the NHT Unit at the Facility (the “NHT Monthly
Contract Quantity” or “NHT MCQ”</t>
  </si>
  <si>
    <t>2026-02-24T09:41:07.932527+00:00</t>
  </si>
  <si>
    <t>The extracted value correctly captures the Shell feedstock minimum contracted deliverable volumes (27 million barrels of condensate and 153KT of naphtha), matching the Shell portion of the reference answer. However, the reference also includes Equinor's minimum contracted deliverable volumes (50,000 condensate per day and 935 MT of FRN per day), which were not extracted. The extraction only covers one of the two source documents referenced in the ground truth.</t>
  </si>
  <si>
    <t>Nameplate Capacity</t>
  </si>
  <si>
    <t>nameplate_capacity</t>
  </si>
  <si>
    <t>NHT: 4,113 KMTA (102,100 BPSD); CCR Platforming: 3,201 KMTA (77,400 BPSD); CFU: 6,356 KMTA (150,000 BPSD); Merox: 10,200 Barrels per operating day (3,570,000 Barrels per calendar year); Distillate Unionfining (Diesel): 30,700 Barrels per operating day (10,745,000 Barrels per calendar year); Distillate Unionfining (Kerosene): 16,400 Barrels per operating day (5,740,000 Barrels per calendar year); Benzene: 1,688 MTA (591 KMTA); Para-xylene: 4,808 MTA (1,683 KMTA); Isomar: 17,808 MT/day (6,233,000 MT/year); Olefin Reduction Process: 4,380 MT/day (1,533,000 MT/year); Parex: 22,120 MT/day (7,742,000 MT/year); Sulfolane: 1,557 MT/day (545,000 MT/year); Tatoray: 9,585 MT/day (3,355,000 MT/year); Sulfur Recovery: 31.4 MT sulfur/day; CCR Regenerator: 7,000 lb/h catalyst circulation</t>
  </si>
  <si>
    <t>Copy of 47.3.2.1.1.1.2 02_UOP En.pdf (Attachment II, Schedule B.2, Parts 2 &amp; 3) and Copy of 47.3.2.1.1.2.1 PEC - Licens.pdf (Schedule A, Definitions sections 3, 7, 10, 18, 19, 25, 30, 33, 37, 45, 47, 49)</t>
  </si>
  <si>
    <t>1. per product type
2. per unit</t>
  </si>
  <si>
    <t>Design capacities extracted from both the Engineering Agreement and the License Agreement. Units vary by product type: KMTA and BPSD for feed processing units, MTA/KMTA for product units, MT/day for aromatics complex units. Calendar year figures based on 8,400 operating hours (Aromatics) or 350 operating days (Condensate Refinery units). These represent design capacities as registered/specified in the agreements, serving as the nameplate capacity baseline.</t>
  </si>
  <si>
    <t>Per Type of Product Output
engineering document: 
C3 LPG - 2264 BPDS,  64 KMTA
C4 LPG 7871 BPDS, 253 KMTA
Light Naphtha 26,462 BPDS, 961 KMTA
Benzene, 591 KMTA
para-xylene 1683 KMTA
kerosene: 16279 BPDS, 718 KMTA
diesel: 31,536 BPDS, 1440 KMTA
fuel oil: 460 KMTA
fuel gas: 465 KMTA
Sulfur: 4 KMTA</t>
  </si>
  <si>
    <t>2026-02-24T09:41:21.799724+00:00</t>
  </si>
  <si>
    <t>The extracted value and reference answer approach nameplate capacity from fundamentally different angles. The reference provides capacity per type of product output (C3 LPG, C4 LPG, Light Naphtha, Benzene, para-xylene, kerosene, diesel, fuel oil, fuel gas, Sulfur), while the extracted value provides capacity per process unit (NHT, CCR Platforming, CFU, Merox, etc.). There is some overlap: Benzene (591 KMTA matches), para-xylene (1,683 KMTA matches), and kerosene/diesel Unionfining figures are in the same ballpark. However, the extracted answer misses many product categories (C3 LPG, C4 LPG, Light Naphtha, fuel oil, fuel gas) and does not present the data in the expected format of product output capacities. The reference specifically states 'Per Type of Product Output' as the organizing principle, which the extraction does not follow.</t>
  </si>
  <si>
    <t>Nameplate Capacity Units</t>
  </si>
  <si>
    <t>nameplate_capacity_units</t>
  </si>
  <si>
    <t>NHT: 4,113 KMTA (102,100 BPSD); CCRU: 3,201 KMTA (77,400 BPSD); Aromatics Complex Benzene: 591 KMTA (1,688 MTA per operating day); Aromatics Complex Para-xylene: 1,683 KMTA (4,808 MTA per operating day); Merox Unit: 3,570,000 Barrels per calendar year (10,200 BPSD); Distillate Unionfining (Diesel): 10,745,000 Barrels per calendar year (30,700 BPSD); Distillate Unionfining (Kerosene): 5,740,000 Barrels per calendar year (16,400 BPSD); CCR Platforming Unit: 27,090,000 Barrels per calendar year (77,400 BPSD); Isomar Unit: 6,233,000 MTA per calendar year (17,808 MTA per operating day); Olefin Reduction Process Unit: 1,533,000 MTA per calendar year (4,380 MTA per operating day); Parex Unit: 7,742,000 MTA per calendar year (22,120 MTA per operating day); Sulfolane Unit: 545,000 MTA per calendar year (1,557 MTA per operating day); Tatoray Unit: 3,355,000 MTA per calendar year (9,585 MTA per operating day); Sulfur Recovery Unit: 31.4 Metric Tons sulfur product per operating day; Regenerator: 7,000 lb/h catalyst circulation; CFU: 6,356 KMTA (150,000 BPSD)</t>
  </si>
  <si>
    <t>Copy of 47.3.2.1.1.1.2 02_UOP En.pdf (Schedule B.2, Parts 2 &amp; 3) and Copy of 47.3.2.1.1.2.1 PEC - Licens.pdf (Schedule A, Definitions)</t>
  </si>
  <si>
    <t>Units vary by product type: KMTA (kilo metric tons per annum), BPSD (barrels per stream day), MTA (metric tons per operating day or per calendar year), lb/h (pounds per hour for catalyst circulation). Capacity figures are based on 8,400 operating hours/year for Aromatics Complex products and 350 operating days/year for Condensate Refinery units. These are design capacities as registered/defined in the Engineering Agreement and License Agreement.</t>
  </si>
  <si>
    <t>Per Type of Product Output
engineering document: 
C3 LPG - 2264 BPDS,  64 KMTA
C4 LPG 7871 BPDS, 253 KMTA
Light Naphtha 26,462 BPDS, 961 KMTA
Benzene, 591 KMTA
para-xylene 1683 KMTA
kerosene: 16279 BPDS, 718 KMTA
diesel: 31,536 BPDS, 1440 KMTA
fuel oil: 460 KMTA
hydrogen rich gas: 51 KMTA
fuel gas: 465 KMTA
Sulfur: 4 KMTA</t>
  </si>
  <si>
    <t>2026-02-24T09:41:25.163862+00:00</t>
  </si>
  <si>
    <t>The question asks for 'Nameplate Capacity Units' (i.e., the units of measurement used for nameplate capacity). The reference answer states the units are 'Per Type of Product Output' with specific product-level capacities in BPDS and KMTA. The extracted value instead provides unit-by-unit process capacities (NHT, CCRU, CFU, etc.) with various units (KMTA, BPSD, MTA, barrels per calendar year, etc.), which is a fundamentally different way of expressing capacity (by processing unit rather than by product output). While there is some overlap in specific values (Benzene 591 KMTA and para-xylene 1683 KMTA match exactly), the overall framing and most of the data points do not correspond to the reference answer's product-output-based capacity breakdown. The extracted answer reflects process unit design capacities from licensing documents rather than the product output nameplate capacities.</t>
  </si>
  <si>
    <t>Number of Feedstock Requiring Storage</t>
  </si>
  <si>
    <t>number_of_feedstock_requiring_storage</t>
  </si>
  <si>
    <t>Copy of 47.2.1.1.1 Commercial Term Sheet Shell - Feedstock.docx, Section: Contract Quantity; Copy of 47.11.3.1 Shell_Binding Term Sheet - Feedstock supply.pdf, Section: Grade &amp; Quality</t>
  </si>
  <si>
    <t>The feedstock types requiring storage are Condensate and Full Range Naphtha (FRN), as identified across multiple binding term sheets and the storage/handling commercial proposal (Chunk 7 references 'Storage &amp; Handling of Feedstocks and Finished Products for Condensate Splitter and Aromatics Complex'). The contract quantity section explicitly lists these two feedstock types with mandatory supply obligations. The Schedule A in the TSA (Chunk 9) lists only 'Naphtha' under the feedstock product group for storage tanks, but the broader feedstock supply agreements consistently reference two feedstock types (Condensate and Full Range Naphtha) requiring storage facilities.</t>
  </si>
  <si>
    <t>2026-02-24T09:41:26.183993+00:00</t>
  </si>
  <si>
    <t>The extracted value of 2 exactly matches the reference answer of 2.</t>
  </si>
  <si>
    <t>Number of Feedstock Sellers Entities</t>
  </si>
  <si>
    <t>number_of_feedstock_sellers_entities</t>
  </si>
  <si>
    <t>Derived from Feedstock Seller's Entity: Shell International Eastern Trading Company (SIETCO); Equinor ASA</t>
  </si>
  <si>
    <t>Count of entities: ['Shell International Eastern Trading Company (SIETCO)', 'Equinor ASA']</t>
  </si>
  <si>
    <t>2026-02-24T09:43:17.327819+00:00</t>
  </si>
  <si>
    <t>Number of Offtake Buyer Entities</t>
  </si>
  <si>
    <t>number_of_offtake_buyer_entities</t>
  </si>
  <si>
    <t>Multiple offtake agreement documents: Copy of 47.2.3.1.2 01_Product Offtake Agreement - PEC v Mitsui Co. Ltd; Copy of 47.2.1.2.1 Commercial Term Sheet Shell _ Offtake.docx; Copy of 47.11.3.2 Shell_Binding Term Sheet - Products offtake.pdf; Copy of 47.2.5.1.2 01_Hydrogen Offtake Agreement.pdf</t>
  </si>
  <si>
    <t>The datapoint name says 'Offtake Buyer Entities' but the definition says 'offtake seller entities'. Interpreting as buyer entities: From the available documents, two distinct offtake buyer entities are identifiable: (1) Mitsui &amp; Co. Ltd (from the Product Offtake Agreement) and (2) Shell International Eastern Trading Company / SIETCO (from the Shell binding term sheets). The Hydrogen Offtake Agreement does not name its buyer in the provided chunks. There may also be a third entity (PSTO appears as a seller in one Shell term sheet variant). If the definition ('seller entities') is the intended meaning, the seller entities identified are PEC (Pengerang Energy Complex Sdn Bhd) and PSTO (Pengerang Product Supply and Trading Organisation Pte. Ltd.), which would also be 2. The count may be incomplete as not all offtake agreements for the project may have been provided.</t>
  </si>
  <si>
    <t>2026-02-24T09:41:41.480089+00:00</t>
  </si>
  <si>
    <t>The extracted value is 2, but the reference answer is 5 offtake buyer entities. The extraction identified only some of the buyer entities from the documents, missing 3 of the 5 total buyers.</t>
  </si>
  <si>
    <t>Number of Offtake Seller Entities</t>
  </si>
  <si>
    <t>number_of_offtake_seller_entities</t>
  </si>
  <si>
    <t>Copy of 47.2.1.2.1 Commercial Term Sheet Shell _ Offtake.docx, Section 2: Parties; Copy of 47.11.3.2 Shell_Binding Term Sheet - Products offtake.pdf, Section 2: Parties</t>
  </si>
  <si>
    <t>Based on the available offtake agreement documents, the seller entities identified are: (1) Pengerang Energy Complex Sdn Bhd (PEC) appearing as Seller in the Shell offtake term sheet (47.2.1.2.1) and as seller/company in the Mitsui Product Offtake Agreement and Hydrogen Offtake Agreement, and (2) Pengerang Product Supply and Trading Organisation Pte. Ltd. (PSTO) appearing as Seller in a separate Shell binding term sheet (47.11.3.2). The context provided does not give a comprehensive view of all offtake agreements for the project, so this count of 2 seller entities is based only on the documents retrieved.</t>
  </si>
  <si>
    <t>2026-02-24T09:41:44.416051+00:00</t>
  </si>
  <si>
    <t>The extracted value is 2 offtake seller entities, while the reference answer is 5. The extraction significantly undercounts the number of offtake seller entities, likely missing entities from other documents in the dataset.</t>
  </si>
  <si>
    <t>Number of Products Manufactured</t>
  </si>
  <si>
    <t>number_of_products_manufactured</t>
  </si>
  <si>
    <t>Copy of 47.3.2.1.1.1.2 02_UOP En.pdf and Copy of 47.3.2.1.1.1.3 04_UOP Ag.pdf (Engineering Agreement and Amendment)</t>
  </si>
  <si>
    <t>The Engineering Agreement and its amendment cover engineering design services (optimization, design basis, and basic engineering design specifications) for a petrochemical complex. There is no mention of 'number of products manufactured' anywhere in the document. This agreement pertains to engineering/design services, not manufacturing of products.</t>
  </si>
  <si>
    <t>2026-02-24T09:41:46.217436+00:00</t>
  </si>
  <si>
    <t>Number of Storage Terminals</t>
  </si>
  <si>
    <t>number_of_storage_terminals</t>
  </si>
  <si>
    <t>Copy of 47.3.5.1.2.1.1 PEC TSA dated 15 May 2.docx, Schedule A (Capacity and Infrastructure)</t>
  </si>
  <si>
    <t>The document references 'the Terminal' as a single facility throughout the TSA. Schedule A details 13 storage tanks across various product groups but does not explicitly state the number of storage terminals. The agreement appears to pertain to one terminal, but this is not explicitly stated as a discrete datapoint for 'number of storage terminals.' The concept of 'storage terminals' as a counted unit is not directly addressed in the available context.</t>
  </si>
  <si>
    <t>2026-02-24T09:41:51.100217+00:00</t>
  </si>
  <si>
    <t>Number of Types of Feedstock Contracted</t>
  </si>
  <si>
    <t>number_of_types_of_feedstock_contracted</t>
  </si>
  <si>
    <t>Derived from Types of Feedstock Contracted: Condensate (from a basket of pre-agreed grades including: Permian Light Crude / Condensate, North West Shelf Condensate, Gorgon Condensate, Wheatstone Condensate, Bayu Undan Condensate, Senipah Condensate, Geragai Condensate, Bintulu Condensate, Rong Doi Condensate, Cakerawala Condensate, Malampaya Condensate, LSC (Low Sulphur Condensate), DFC (Deodorized Field Condensate), Khuff Condensate, Sharjah Condensate, Margham Condensate, Mellitah Condensate, Brega Condensate, Alba Condensate, Sleipner Condensate, such other Qatari-grade condensate); Full Range Naphtha (N+2A min 35.0%, 50% Distillation min 85°C)</t>
  </si>
  <si>
    <t>Count of types: ['Condensate (from a basket of pre-agreed grades including: Permian Light Crude / Condensate, North West Shelf Condensate, Gorgon Condensate, Wheatstone Condensate, Bayu Undan Condensate, Senipah Condensate, Geragai Condensate, Bintulu Condensate, Rong Doi Condensate, Cakerawala Condensate, Malampaya Condensate, LSC (Low Sulphur Condensate), DFC (Deodorized Field Condensate), Khuff Condensate, Sharjah Condensate, Margham Condensate, Mellitah Condensate, Brega Condensate, Alba Condensate, Sleipner Condensate, such other Qatari-grade condensate)', 'Full Range Naphtha (N+2A min 35.0%, 50% Distillation min 85°C)']</t>
  </si>
  <si>
    <t>2026-02-24T09:43:17.327846+00:00</t>
  </si>
  <si>
    <t>Offtake Buyer Entities</t>
  </si>
  <si>
    <t>offtake_buyer_entities</t>
  </si>
  <si>
    <t>Shell International Eastern Trading Company (SIETCO); Mitsui &amp; Co., Ltd</t>
  </si>
  <si>
    <t>Copy of 47.11.3.2 Shell_Binding Term Sheet - Products offtake.pdf (Section 2: Product Offtake - Parties); Copy of 47.2.1.2.1 Commercial Term Sheet Shell _ Offtake.docx (Section 2: Product Offtake - Parties); Copy of 47.2.3.1.2 01_Product Offtake Agreement - PEC v Mitsui Co. Ltd (fully s.pdf); Copy of 47.2.3.1.1 02_First Addendum - Mitsui POA_executed.pdf (Signature Page)</t>
  </si>
  <si>
    <t>Two offtake buyer entities identified for the Pengerang Energy Complex project: (1) Shell International Eastern Trading Company (SIETCO), a registered business of Shell Eastern Trading (Pte) Ltd incorporated in Singapore, identified as 'Buyer' in both the Shell binding term sheets; (2) Mitsui &amp; Co., Ltd, identified as 'Buyer' in the Product Offtake Agreement and First Addendum. A Hydrogen Offtake Agreement was also found but the specific buyer entity name was not disclosed in the available chunks.</t>
  </si>
  <si>
    <t>Shell, Mitsui, PTT, Pandita, Equinor</t>
  </si>
  <si>
    <t>2026-02-24T09:42:02.378122+00:00</t>
  </si>
  <si>
    <t>The extracted value identifies 2 out of 5 offtake buyer entities (Shell/SIETCO and Mitsui). It is missing PTT, Pandita, and Equinor, so it captures only a partial set of the correct answer.</t>
  </si>
  <si>
    <t>Offtake Contract Quantity Units</t>
  </si>
  <si>
    <t>offtake_contract_quantity_units</t>
  </si>
  <si>
    <t>Shell contract: Gasoil 10ppm 1,440 KT, Jet A-1 725 KT, Very Low Sulphur Fuel Oil 420 KT, Light Naphtha 450 KT, Benzene 315 KT (each ±10% at Seller's option) per Contract Year; Mitsui contract: Annual Contract Quantity for Paraxylene and Benzene (specific MT figures not stated in provided chunks); PTT contract: Paraxylene up to 600,000 MT (or up to 1,250,000 MT with buyer approval), Benzene up to 300,000 MT per Year</t>
  </si>
  <si>
    <t>Shell: Copy of 47.2.1.2.1 Commercial Term Sheet Shell _ Offtake.docx, Section 2 Contract Quantity (and Copy of 47.11.3.2 Shell_Binding Term Sheet - Products offtake.pdf, Section 2 Contract Quantity); Mitsui: Copy of 47.2.3.1.2 01_Product Offtake Agreement - PEC v Mitsui Co. Ltd, Section 2.3(a); PTT: Copy of 47.2.4.1.1 PEC - PTT POA (PX - BZ) (17 01 23) (signed).pdf, Section 2.3(a)(iv)</t>
  </si>
  <si>
    <t>Price Structure/Exposure-indexed</t>
  </si>
  <si>
    <t>per contract per year</t>
  </si>
  <si>
    <t>Units are in KT (kilotonnes) for Shell and MT (metric tonnes) for PTT. The Mitsui POA references the 'Annual Contract Quantity' for Paraxylene and Benzene but the specific baseline volume figures are not included in the provided chunks (likely in a definitions section or Schedule F). The PTT contract specifies caps rather than fixed volumes — 600,000 MT PX baseline (up to 1,250,000 MT with PTT approval) and 300,000 MT BZ. All contracts allow ±10% quarterly flexibility. Additional Quantity provisions allow up to 30% above ACQ for Mitsui and PTT contracts.</t>
  </si>
  <si>
    <t>47.2.1.2.1 Commercial Term Sheet Shell _ Offtake.docx 
pg 2
Seller to supply and Buyer to purchase and offtake the following products on a mandatory basis: 
•        Gasoil 10ppm: Baseline Annual Contract Quantity (“ACQ”) of a minimum of 1,440 KT during each Con-tract Year ±10% at Seller’s option; 
•        Jet A-1: ACQ of a minimum of 725 KT during each Contract Year ±10% at Seller’s option; 
•        Very Low Sulphur Fuel Oil: ACQ of a minimum of 420 KT during each Contract Year ±10% at Seller’s option; 
•        Light Naphtha: ACQ of a minimum of 450 KT of the total production during each Contract Year ±10% at Seller’s option;
•        Benzene: ACQ of a minimum of 315 KT of the total production during each Contract Year ±10% at Sell-er’s option; 
47.2.2.2.1 Equinor - Feedstock Sale and Product Purchase Agreemen.pdf
pg 32, 
It is contemplated by the Parties that in the normal course the Facility will produce
(nominally) 52,000 (+/- 20%) Barrels per day of Product across all the Products,
comprising the following:
(i) LVN: 26,000 (+/-20%) bbld;
(ii) Jet: 16,000 (+/-20%) bbld;
(iii) Combined C3 and C4: 10,000 (+/-20%) bbld with C3 approximately 1,500bbld
and C4 approximately 8,500bbld,
(the “Product Daily Contract Quantity” / “PDCQ”, for each Product and in
aggregate across all Products, as applicable, subject to adjustments in accordance with
this Clause 4.6(b)).
Mitsui - MT for paraxylene and benzene
PTT - MT for paraxylene and benzene
Pandita - Nm3</t>
  </si>
  <si>
    <t>2026-02-24T09:42:22.522606+00:00</t>
  </si>
  <si>
    <t>The extracted value correctly captures the Shell contract quantities and units (KT), the Mitsui units (MT for paraxylene and benzene), and the PTT units (MT for paraxylene and benzene) with specific quantity details. However, it completely misses the Equinor contract (Barrels per day / bbld for LVN, Jet, C3/C4) and the Pandita contract (Nm3). The question asks about quantity units across all offtake contracts, and two of the five contracts are omitted. The Shell details are accurately captured, and PTT quantities are included with reasonable detail. The Mitsui acknowledgment of MT is correct but lacks specifics. Overall, significant portions of the ground truth are missing.</t>
  </si>
  <si>
    <t>Offtake Contract Term</t>
  </si>
  <si>
    <t>offtake_contract_term</t>
  </si>
  <si>
    <t>PEC v Mitsui: 12 years from Commercial Operations Date (Initial Term), extendable by mutual agreement; PEC v PTT (PX-BZ): 5 years from Commercial Operations Date (Initial Term), automatically renewed to 10th anniversary of Offtake Commencement Date (Extended Term); Hydrogen Offtake Agreement: 15 years from Offtake Commencement Date, with automatic successive 5-year renewals unless 3 years' notice given</t>
  </si>
  <si>
    <t>PEC v Mitsui: Copy of 47.2.3.1.2, Section 3.2 Term; PEC v PTT: Copy of 47.2.4.1.1, Section 3.2 Term; Hydrogen: Copy of 47.2.5.1.2, Sections 3.2 Term and 3.3 Extension</t>
  </si>
  <si>
    <t>per offtake contract</t>
  </si>
  <si>
    <t>Three offtake contracts identified: (1) PEC v Mitsui Co. Ltd Product Offtake Agreement - Initial Term of 12 years from Commercial Operations Date, with option to request extension by mutual written agreement (90 days' notice before expiry required). (2) PEC v PTT Product Offtake Agreement (PX-BZ) - Initial Term of 5 years from Commercial Operations Date, automatically extending to 10th anniversary of Offtake Commencement Date unless either party exercises termination option within 30 days after 3rd anniversary of Offtake Commencement Date. (3) Hydrogen Offtake Agreement - 15 years from Offtake Commencement Date, with automatic 5-year successive renewals unless terminated with at least 3 years' prior written notice. The Shell Binding Term Sheet does not specify a contract term in the provided context.</t>
  </si>
  <si>
    <t>47.2.1.2.1 Commercial Term Sheet Shell _ Offtake.docx,
pg 1, 
ans: 12 years
47.2.2.2.1 Equinor - Feedstock Sale and Product Purchase Agreemen.pdf
pg 25
(10th) anniversary of the COD</t>
  </si>
  <si>
    <t>2026-02-24T09:42:09.260319+00:00</t>
  </si>
  <si>
    <t>The extracted value contains multiple contract terms from different agreements. It correctly identifies 12 years (matching the Shell reference of 12 years, though attributed to Mitsui rather than Shell) and mentions the 10th anniversary (matching the Equinor reference, though attributed to PTT). However, the source documents referenced differ from the ground truth (the reference points to Shell and Equinor documents, while the extraction references Mitsui, PTT, and Hydrogen agreements). The factual terms (12 years and 10th anniversary) are present but attributed to different counterparties, and additional information (Hydrogen agreement, 15 years) is included that isn't in the reference. The misattribution of counterparties is a significant concern.</t>
  </si>
  <si>
    <t>Offtake Contract Term Extension</t>
  </si>
  <si>
    <t>offtake_contract_term_extension</t>
  </si>
  <si>
    <t>PEC-PTT POA (PX-BZ): Automatic renewal from Initial Term (5 years from Commercial Operations Date) to Extended Term (10th anniversary of Offtake Commencement Date), unless either party gives written notice within 30 days after the 3rd anniversary of the Offtake Commencement Date to terminate at end of Initial Term; Mitsui Product Offtake Agreement: Either party may request extension by written notice no later than 90 days prior to expiry of the 12-year Initial Term, for a period to be mutually agreed in writing; Hydrogen Offtake Agreement: Automatic renewal for successive 5-year terms after the 15-year Term, unless terminated by either party with not less than 3 years' prior written notice (no reason required); Shell/SIETCO Product Offtake (Binding Term Sheet): Option to extend the 12-year Term by an additional 5 years if mutually agreed; SIETCO also has unilateral option to extend until outstanding amounts are fully repaid</t>
  </si>
  <si>
    <t>PEC-PTT POA: Copy of 47.2.4.1.1 PEC - PTT POA (PX - BZ) (17 01 23) (signed).pdf, Section 3.2 Term; Mitsui POA: Copy of 47.2.3.1.2 01_Product Offtake Agreement - PEC v Mitsui Co. Ltd (fully s.pdf, Section 3.2 Term; Hydrogen Offtake: Copy of 47.2.5.1.2 01_Hydrogen Offtake Agreement.pdf, Sections 3.2 and 3.3; Shell BTS: Copy of 47.2.1.2.1 Commercial Term Sheet Shell _ Offtake.docx and Copy of 47.11.3.2 Shell_Binding Term Sheet - Products offtake.pdf, Section 2 Contract Period</t>
  </si>
  <si>
    <t>Four distinct offtake contracts identified. The PEC-PTT agreement features an automatic extension mechanism with an opt-out window. The Mitsui agreement requires mutual written agreement for extension. The Hydrogen Offtake Agreement has automatic successive 5-year renewals with a 3-year notice period to terminate. The Shell/SIETCO term sheet provides a mutual 5-year extension option plus a unilateral SIETCO extension right tied to outstanding payment obligations.</t>
  </si>
  <si>
    <t xml:space="preserve">47.2.1.2.1 Commercial Term Sheet Shell _ Offtake.docx,
pg 1, 
ans:  Option to extend the Term by an additional 5 years, if mutually agreed.
47.2.2.2.1 Equinor - Feedstock Sale and Product Purchase Agreemen.pdf
pg 27
ans: Equinor shall, in its sole discretion, have the option to extend the Term so that the
Agreement expires at 24:00 hours on the day that is the twelfth (12th) anniversary of
the COD (the “Extended Expiry Date”) by giving PEC written notice of such
extension no later than the sixth (6th) anniversary of the Commercial Operations Date.
Pandita - 47.2.5.1.2 01_Hydrogen Offtake Agreement.pdf
Term - 15 years. pg 14 of document 
PTT - 47.2.4.1.1 PEC - PTT POA (PX - BZ) (17 01 23) (signed).pdf
Term - 10 years pg 22 of document 
Mitsui - 
47.2.3.1.2 01_Product Offtake Agreement - PEC v Mitsui  Co. Ltd (fully s.pdf
Term - 12 years pg 21 of document
</t>
  </si>
  <si>
    <t>2026-02-24T09:42:15.939612+00:00</t>
  </si>
  <si>
    <t>The extracted value covers extension terms for Shell (5-year mutual extension option - matches), PTT, Mitsui, and Hydrogen Offtake agreements with detailed extension mechanisms. However, it is missing the Equinor contract extension term entirely (option to extend to 12th anniversary of COD at Equinor's sole discretion). The reference also includes Equinor's extension provision as a key answer. The extracted details for the contracts that are covered are generally accurate and detailed, but the omission of Equinor and the inclusion of some details not in the reference (like SIETCO unilateral repayment extension) make this a partial match. The Shell extension term matches exactly.</t>
  </si>
  <si>
    <t>Offtake Delivery Channel</t>
  </si>
  <si>
    <t>offtake_delivery_channel</t>
  </si>
  <si>
    <t>Shell: FIP or FOB; Mitsui: FOB; PTT: FOB; Hydrogen: Pipeline</t>
  </si>
  <si>
    <t>Shell Binding Term Sheet (Nominations process section) - FIP and FOB channels; PEC v Mitsui Product Offtake Agreement Section 2.8(a) - FOB delivery; PEC-PTT POA - FOB (implied from cargo/loading references); Hydrogen Offtake Agreement Clause 2.2(b)(i) - Pipeline Facilities</t>
  </si>
  <si>
    <t>1. per offtake contract</t>
  </si>
  <si>
    <t>Shell Products Offtake: Buyer nominates delivery channel as either FIP (Free In Pipeline/facility) or FOB (Free On Board), per the nominations process. Mitsui Product Offtake: Delivery is FOB at PEC Facility. PTT Product Offtake: FOB delivery implied from loading date ranges and tankship nominations. Hydrogen Offtake: Delivery via Pipeline Facilities.</t>
  </si>
  <si>
    <t xml:space="preserve">"47.2.1.2.1 Commercial Term Sheet Shell _ Offtake.docx 
pg 3,
Each product cargo will be supplied to the Buyer as per below parcel size and grades:
FIP channel (risk and title to pass at Product Storage Facilities battery limit)
•        Gasoil 10ppm:
o         6,000 to 40,000 MT ± 5% at Buyer’s option 
•        Jet A-1:
o         6,000 to 40,000 MT ± 5% at Buyer’s option 
•        Very Low Sulphur Fuel Oil:
o        12,000 to 40,000 MT ±5% at Buyer’s option 
•        Light Naphtha:
o        6,000 to 50,000 MT ±5% at Buyer’s option 
•        Benzene:
o        6,000 to 9,000 MT ±5% at Buyer’s option
•        Any deviation to a parcel size shall be mutually agreed between the Parties
FOB channel (risk and title to pass at vessel’s flange at loading port)
•        Gasoil 10ppm:
o         6,000 to 40,000 MT ± 5% at Buyer’s option 
•        Jet A-1:
o         6,000 to 40,000 MT ± 5% at Buyer’s option 
•        Very Low Sulphur Fuel Oil:
o        12,000 to 40,000 MT ±5% at Buyer’s option 
•        Light Naphtha:
o        25,000 to 50,000 MT ±5% at Buyer’s option 
•        Benzene:
o         6,000 to 9,000 MT ±5% at Buyer’s option 
Buyer will have the right to co-load any grade that the Buyer deems appropriate and subject to mutual agreement (as further set out in the Operational Document (as defined below)).  
Equinor -  not defined
Mitsui, 47.2.3.1.2 01_Product Offtake Agreement - PEC v Mitsui  Co. Ltd (fully s.pdf, 
- FOB, document pg 19 
PTT - 47.2.4.1.1 PEC - PTT POA (PX - BZ) (17 01 23) (signed).pdf, document pg 19, FOB 
Pandita, 47.2.5.1.2 01_Hydrogen Offtake Agreement.pdf
Pipeline
 </t>
  </si>
  <si>
    <t>2026-02-24T09:42:23.048959+00:00</t>
  </si>
  <si>
    <t>The extracted value correctly identifies the delivery channels for Shell (FIP and FOB), Mitsui (FOB), PTT (FOB), and Hydrogen/Pandita (Pipeline). However, it omits the Equinor entry (which is 'not defined' in the reference). It also refers to the hydrogen offtaker as 'Hydrogen' rather than 'Pandita'. The core factual information about delivery channels is largely correct but not fully complete.</t>
  </si>
  <si>
    <t>Offtake Pricing Formula</t>
  </si>
  <si>
    <t>offtake_pricing_formula</t>
  </si>
  <si>
    <t>PEC v Mitsui (Paraxylene): Paraxylene Product Price = Paraxylene Price Index – Frt + Adjustment, where Paraxylene Price Index is any traded price index or combination accepted by the industry (determined by Buyer), Frt is prevailing chemical tanker freight rates (10KT lot for FEA/India, 5KT for SEA) from Pengerang Malaysia, and Adjustment is premium/discount reflecting prevailing market conditions (USD/MT, applied for 3/6/9/12 months); PEC v Mitsui (Benzene): Benzene Product Price = Benzene Price Index – Frt + Adjustment, where Benzene Price Index is any traded price index or combination accepted by the industry (determined by Buyer), Frt is prevailing chemical tanker freight rates (6KT lot) from Pengerang Malaysia, and Adjustment is premium/discount reflecting prevailing market conditions (USD/MT, applied for 3/6/9/12 months); Shell Binding Term Sheet (Gasoil 10ppm, Jet A-1, VLSFO, Light Naphtha, Benzene): Price = A + B + C, where A = Pricing benchmark (MOPS Gasoil 10ppm / MOPS Kero / Platts MOPS 0.5 LSFO minus Freight / MOPJ Naphtha minus TC4 SG-Jpn / Platts FOBK Benzene, delivery/loading month average), B = Market Premium (Published Platts Premium or fixed differential per product), C = Other costs (shifting, demurrage, insurance, storage, working capital financing cost, hedging cost, Market Structure Adjustment); Hydrogen Offtake Agreement: Product Price determined per formula and procedures in Schedule D (formula not disclosed in available text)</t>
  </si>
  <si>
    <t>PEC v Mitsui: Schedule F, Paragraph 1 of 'Product Offtake Agreement - PEC v Mitsui Co. Ltd'; Shell: Section 2 'Price of the Cargo' of 'Shell_Binding Term Sheet - Products offtake.pdf' and '47.2.1.2.1 Commercial Term Sheet Shell _ Offtake.docx'; Hydrogen: Section 2.2 of 'Hydrogen Offtake Agreement.pdf'</t>
  </si>
  <si>
    <t>Take or pay contract strength</t>
  </si>
  <si>
    <t>1. per offtake contract
2. per offtake product</t>
  </si>
  <si>
    <t>All prices are expressed in USD per metric ton (PEC v Mitsui and Shell) or per Nm³ (Hydrogen). The PEC v Mitsui pricing is FOB Port of Delivery; Shell pricing is FOB basis. The Hydrogen Offtake Agreement references Schedule D for its pricing formula but the actual formula in Schedule D was not provided in the available context. Shell pricing aligns loading month with feedstock delivery month. PEC v Mitsui freight rates are fixed annually by end of November. Shell 'B' component uses various averaging windows depending on the product.</t>
  </si>
  <si>
    <t>Shell, 47.2.1.2.1 Commercial Term Sheet Shell _ Offtake.docx 
pg 6
Ans: For each product cargo, the Price formula will be applicable for the respective month of loading at Load port (the Loading Month), which shall be the same as the Feedstock Delivery Month (as defined in Section 1), unless otherwise agreed by the Parties) as below.
•        Price formula = A + B + C 
o        All pricing is basis one-port load and subject to the final terms of the Supply and Offtake Agreement.
“A”: Pricing benchmark
•        Platts Gasoil 10ppm: MOPS Gasoil 10ppm
•        Jet A-1: MOPS Kero 
•        Very Low Sulphur Fuel Oil: Platts MOPS 0.5 LSFO (Platts code: AMFFA00)– Freight
•        Light Naphtha: Platts MOPJ Naphtha– TC4 (SG-Jpn)
•        Benzene: Platts FOBK Benzene 
Delivery / loading month average pricing to apply to the above.
“B”: Market Premium 
•        Platts Gasoil 10ppm: Published Platts Premium (Gasoil 10ppm)1
•        Jet A-1: Published Platts Premium (Kerosene)1
•        Very Low Sulphur Fuel Oil: Market Premium (Platts code FOFSB00)2
•        Light Naphtha: Platts CFR Naphtha Japan Premium (Platts code PAAAD00)3 
•        Benzene:  Fixed differential
“C”: Other costs 
•        All costs actually incurred by Buyer for Seller’s offtake of products to Buyer that is not already in-cluded in “A” and “B” above, which may include shifting, demurrage, insurance and storage  for that Loading Month
•        Pre-agreed working capital financing cost incurred by Buyer as a US$/bbl or US$/MT number to Market Premium
•        Hedging cost incurred by Buyer as requested by Seller as a US$/bbl or US$/MT number to Market PremiumMarket Structure Adjustment: A US$/bbl or US$/MT to adjust “B” to account for any dif-ference between pricing for Loading Month and Actual Product Delivery Date incurred by Buyer. In the event FIP or FOB delivery terms apply, market structure adjustment costs to be borne by Seller. “Actual Product Delivery Date”: the actual FIP delivery date or the actual FOB loading date (as may be applicable)  
Equinor, 47.2.2.2.1 Equinor - Feedstock Sale and Product Purchase Agreemen.pdf
pg 68
Product Market Price
(subject to any applicable Revised Pricing (Monthly Excess Product) or Revised Pricing (Off-
specification Product), the Product Market Price in US$/MT (or Barrels as applicable) for
Product delivered in a Contract Month shall be calculated by PEC in accordance with the
following formula:
P = PM + AD – MS
Where
P = Price per MT/Barrel of Product in US$
PM = Pricing Marker
AD = Applicable Differential
MS = Market Structure
Pandita - 47.2.5.1.2 01_Hydrogen Offtake Agreement.pdf
pg 35 = Product price = [LNG FOB WAB x [141.80/(52(1.0551))]/E
PTT , 47.2.4.1.1 PEC - PTT POA (PX - BZ) (17 01 23) (signed).pdf
Document page 58, 69: paraxylene product price = (50% ACP + 50% AMP) - Frt + Adjustment
Benzene product price = Platts FOB Korea + adjustment
Mitsui, 47.2.3.1.2 01_Product Offtake Agreement - PEC v Mitsui  Co. Ltd (fully s.pdf pg 59,60
paraxylene product price = paraxylene price index + adjustment
benzene product price = benzene price index - Frt + adjustment</t>
  </si>
  <si>
    <t>2026-02-24T09:42:37.409584+00:00</t>
  </si>
  <si>
    <t>The extraction covers Shell, Mitsui, and Hydrogen agreements but misses Equinor (P = PM + AD – MS) and PTT (paraxylene = (50% ACP + 50% AMP) - Frt + Adjustment; benzene = Platts FOB Korea + adjustment) entirely. For Mitsui, the paraxylene formula is extracted as 'Price Index – Frt + Adjustment' but the reference says 'Price Index + Adjustment' (no Frt subtraction for paraxylene; Frt subtraction applies only to benzene). The Hydrogen formula is described as 'not disclosed' but the reference provides a specific formula (LNG FOB WAB x [141.80/(52(1.0551))]/E). The Shell portion is reasonably well captured. Overall, significant omissions and some inaccuracies reduce the score.</t>
  </si>
  <si>
    <t>Offtake Product Contract Quantity</t>
  </si>
  <si>
    <t>offtake_product_contract_quantity</t>
  </si>
  <si>
    <t>Copy of 47.2.3.1.2 01_Product Offtake Agreement - PEC v Mitsui Co. Ltd (fully s.pdf, Section 2.1; Copy of 47.11.3.2 Shell_Binding Term Sheet - Products offtake.pdf, Section 2; Copy of 47.2.4.1.1 PEC - PTT POA (PX - BZ) (17 01 23) (signed).pdf, Schedule C-1</t>
  </si>
  <si>
    <t>per offtake contract
per offtake product</t>
  </si>
  <si>
    <t>The documents reference 'Annual Contract Quantity' as the committed volume (e.g., in the PEC v Mitsui agreement Section 2.1: 'quantities of the Product equal to the Annual Contract Quantity'), but the actual numeric value of the Annual Contract Quantity is not provided in any of the retrieved chunks. The definition of Annual Contract Quantity would likely be found in Section 1.1 (Definitions) or Schedule F of the respective agreements, which were not included in the provided context. Products identified include Paraxylene and Benzene (PEC v Mitsui), and Hydrogen (Hydrogen Offtake Agreement). The Shell Term Sheet and PTT POA also reference quantity concepts but do not disclose specific committed volumes.</t>
  </si>
  <si>
    <t>47.2.1.2.1 Commercial Term Sheet Shell _ Offtake.docx 
pg 2
Seller to supply and Buyer to purchase and offtake the following products on a mandatory basis: 
•        Gasoil 10ppm: Baseline Annual Contract Quantity (“ACQ”) of a minimum of 1,440 KT during each Con-tract Year ±10% at Seller’s option; 
•        Jet A-1: ACQ of a minimum of 725 KT during each Contract Year ±10% at Seller’s option; 
•        Very Low Sulphur Fuel Oil: ACQ of a minimum of 420 KT during each Contract Year ±10% at Seller’s option; 
•        Light Naphtha: ACQ of a minimum of 450 KT of the total production during each Contract Year ±10% at Seller’s option;
•        Benzene: ACQ of a minimum of 315 KT of the total production during each Contract Year ±10% at Sell-er’s option; 
47.2.2.2.1 Equinor - Feedstock Sale and Product Purchase Agreemen.pdf
pg 32, 
It is contemplated by the Parties that in the normal course the Facility will produce
(nominally) 52,000 (+/- 20%) Barrels per day of Product across all the Products,
comprising the following:
(i) LVN: 26,000 (+/-20%) bbld;
(ii) Jet: 16,000 (+/-20%) bbld;
(iii) Combined C3 and C4: 10,000 (+/-20%) bbld with C3 approximately 1,500bbld
and C4 approximately 8,500bbld,
(the “Product Daily Contract Quantity” / “PDCQ”, for each Product and in
aggregate across all Products, as applicable, subject to adjustments in accordance with
this Clause 4.6(b)).
Mitsui - 47.2.3.1.2 01_Product Offtake Agreement - PEC v Mitsui  Co. Ltd (fully s.pdf
pg 2 of document - "Annual contract quantity" means 660,000 metric tonnes of paraxylene per annum and 370,000 metric tonnes of benzene per annum
PTT - 47.2.4.1.1 PEC - PTT POA (PX - BZ) (17 01 23) (signed).pdf
pg 8 of document page, annual contract quantity maximum 600,000 is the baseline annual contract quantity. 300,000 benzene baseline annual contract quantity. 
Pandita - 47.2.5.1.2 01_Hydrogen Offtake Agreement.pdf
there's no baseline rate. there's a maximum and minimum rate for hydrogen offtake.</t>
  </si>
  <si>
    <t>2026-02-24T09:42:32.778637+00:00</t>
  </si>
  <si>
    <t>Offtake Seller Entities</t>
  </si>
  <si>
    <t>offtake_seller_entities</t>
  </si>
  <si>
    <t>Pengerang Product Supply and Trading Organisation Pte. Ltd. (PSTO); Pengerang Energy Complex Sdn Bhd (PEC)</t>
  </si>
  <si>
    <t>Copy of 47.11.3.2 Shell_Binding Term Sheet - Products offtake.pdf, Section 2: Product Offtake, Parties; Copy of 47.2.1.2.1 Commercial Term Sheet Shell _ Offtake.docx, Section 2: Product Offtake, Parties; Copy of 47.2.3.1.2 01_Product Offtake Agreement - PEC v Mitsui Co. Ltd (fully s.pdf; Copy of 47.2.5.1.2 01_Hydrogen Offtake Agreement.pdf</t>
  </si>
  <si>
    <t>Two seller entities identified across the offtake agreements: (1) PSTO (Pengerang Product Supply and Trading Organisation Pte. Ltd.) is the Seller in the Shell binding term sheet (47.11.3.2); (2) PEC (Pengerang Energy Complex Sdn Bhd) is the Seller in the Shell commercial term sheet (47.2.1.2.1), the Mitsui Product Offtake Agreement, and the Hydrogen Offtake Agreement (referred to as 'Company'). In the 47.11.3.2 document, PEC is listed as a party but PSTO is designated as the Seller. All agreements relate to the Pengerang Energy Complex project.</t>
  </si>
  <si>
    <t>2026-02-24T09:39:49.494038+00:00</t>
  </si>
  <si>
    <t>The reference answer is '1', which appears to be a count or index, while the extracted value lists specific entity names (PSTO and PEC). These are fundamentally different types of information and cannot be meaningfully compared. The expected data type is 'array', and the reference '1' is ambiguous - it could mean 1 entity, but the extracted value lists 2 entities. Without clearer context on what '1' represents, a proper comparison is not possible.</t>
  </si>
  <si>
    <t>Offtaker Book Value of Equity</t>
  </si>
  <si>
    <t>offtaker_book_value_of_equity</t>
  </si>
  <si>
    <t>Multiple offtakers present: Shell Eastern Trading (Pte) Ltd and PTT International Trading Pte Ltd</t>
  </si>
  <si>
    <t>Offtaker 3 years audited financial statement</t>
  </si>
  <si>
    <t>Credit Quality Risk</t>
  </si>
  <si>
    <t>Offtaker</t>
  </si>
  <si>
    <t>per offtaker</t>
  </si>
  <si>
    <t>Two offtakers are present in the document. Shell Eastern Trading (Pte) Ltd has total equity (book value of equity) of US$3,667,414 thousand (2024) and PTT International Trading Pte Ltd has total equity (book value of equity) of US$386,211 thousand (Group, 2024). Since the datapoint requests 'per offtaker' without specifying which offtaker, both values are noted here. Shell Eastern Trading: US$3,667,414,000; PTT International Trading: US$386,211,000.</t>
  </si>
  <si>
    <t xml:space="preserve">Shell; 47.11.1.1 Shell Eastern Trading Audited Financials FY 2022.pdf; pg 9, value for 2022 = 6,776,402,000
Shell; 47.11.1.1 Shell Eastern Trading Audited Financials FY 2023.pdf; pg 9, value for 2023=4,407,259,000
Shell; 47.11.1.1 Shell Eastern Trading Audited Financials FY 2024.pdf; pg 9, value for 2024 = 3,667,414,000
PTT, 47.11.4.1 PTT Audited Financials FY 2022.pdf, pg 8, Company Share capital and reserve 2022 - 232,359,283
PTT, 47.11.4.1 PTT Audited Financials FY 2023.pdf, pg 14, Company Share capital and reserves 2023 - 317,431,507
PTT, 47.11.4.1 PTT Audited Financials FY 2024.pdf, pg 9, Company Retained Earnings 2024 - 367,175,000
</t>
  </si>
  <si>
    <t>2026-02-24T09:39:54.260233+00:00</t>
  </si>
  <si>
    <t>Offtaker Current Assets</t>
  </si>
  <si>
    <t>offtaker_current_assets</t>
  </si>
  <si>
    <t>Shell Eastern Trading: 15509378; PTT International Trading: 2582425</t>
  </si>
  <si>
    <t>Shell Eastern Trading (Pte) Ltd, Balance Sheet, Current Assets, FY 2024, US$'000; PTT International Trading Pte Ltd and Its Subsidiary, Balance Sheet (Group), Current Assets, FY 2024, US$'000</t>
  </si>
  <si>
    <t>Two offtakers identified. Shell Eastern Trading current assets for FY2024: US$15,509,378 thousand (US$15.51 billion). PTT International Trading current assets (Group) for FY2024: US$2,582,425 thousand (US$2.58 billion). Both values are in US$ thousands. These are the most recent annual (annualized) figures from audited financial statements as at 31 December 2024.</t>
  </si>
  <si>
    <t xml:space="preserve">"Shell; 47.11.1.1 Shell Eastern Trading Audited Financials FY 2022.pdf; pg 8, Current Asset value for 2022 = 21,319,920,000
Shell; 47.11.1.1 Shell Eastern Trading Audited Financials FY 2023.pdf; pg 8, Current Asset value for 2023=15,454,863,000
Shell; 47.11.1.1 Shell Eastern Trading Audited Financials FY 2024.pdf; pg 8, Current Asset value for 2024 = 15,509,378,000
PTT, 47.11.4.1 PTT Audited Financials FY 2022.pdf, pg 8, 2022 - Current Asset Company Level - 2,268,172,453
PTT, 47.11.4.1 PTT Audited Financials FY 2023.pdf, pg 14, Current Asset Company Level - 2,655,457,118
PTT, 47.11.4.1 PTT Audited Financials FY 2024.pdf, pg 9, Current Asset Company Level - 2,522,026,000
</t>
  </si>
  <si>
    <t>2026-02-24T09:40:02.000315+00:00</t>
  </si>
  <si>
    <t>The Shell Eastern Trading FY 2024 value matches: extracted 15,509,378 (in thousands) = 15,509,378,000, which matches the reference exactly. However, the PTT value is problematic. The extracted value of 2,582,425 (in thousands = 2,582,425,000) doesn't match the reference FY 2024 company-level value of 2,522,026,000. The extracted PTT figure appears to be from the Group-level balance sheet rather than the Company-level balance sheet, or possibly from a different year. The reference specifically asks for Company Level current assets for PTT. So Shell matches but PTT does not match the expected value.</t>
  </si>
  <si>
    <t>Offtaker Current Liabilities</t>
  </si>
  <si>
    <t>offtaker_current_liabilities</t>
  </si>
  <si>
    <t>Shell Eastern Trading (Pte) Ltd, Balance Sheet, Current Liabilities total, 2024, US$'000</t>
  </si>
  <si>
    <t>Shell Eastern Trading current liabilities as at 31 December 2024: US$12,078,104 thousand. This is an annual balance sheet figure. Components include: Provisions ($57,330k), Derivative financial instruments ($562,033k), Lease liabilities ($86,381k), Trade and other payables ($11,230,705k), Income tax payable ($141,655k).</t>
  </si>
  <si>
    <t>"Shell; 47.11.1.1 Shell Eastern Trading Audited Financials FY 2022.pdf; pg 8, value for 2022 = 14,539,170,000
Shell; 47.11.1.1 Shell Eastern Trading Audited Financials FY 2023.pdf; pg 8, value for 2023=11,284,630,000
Shell; 47.11.1.1 Shell Eastern Trading Audited Financials FY 2024.pdf; pg 8, value for 2024 = 12,078,104,000
PTT, 47.11.4.1 PTT Audited Financials FY 2022.pdf, pg 9, 2022 - Current Liabilities Company Level - 2,047,461,678
PTT, 47.11.4.1 PTT Audited Financials FY 2023.pdf, pg 16, Current Liabilities Company Level - 2,350,856,731
PTT, 47.11.4.1 PTT Audited Financials FY 2024.pdf, pg 10, Current Liabilities Company Level - 2,158,574,000
"</t>
  </si>
  <si>
    <t>2026-02-24T09:40:06.398638+00:00</t>
  </si>
  <si>
    <t>The extracted value of 12,078,104 from Shell Eastern Trading FY 2024 corresponds to the reference value of 12,078,104,000 for the same entity and year. The numbers match in digits but differ by a factor of 1,000 — the extracted value appears to be in US$'000 (thousands) while the reference states the full value in dollars (12,078,104,000). The underlying data is the same, but the extraction only covers one offtaker (Shell) and one year (2024), missing PTT's current liabilities and other years.</t>
  </si>
  <si>
    <t>Offtaker EBIT (Earnings Before Interest &amp; Taxes)</t>
  </si>
  <si>
    <t>offtaker_ebit_(earnings_before_interest_&amp;_taxes)</t>
  </si>
  <si>
    <t>{'Shell Eastern Trading (Pte) Ltd': 1840990, 'PTT International Trading Pte Ltd (Group)': 78907}</t>
  </si>
  <si>
    <t>Shell Eastern Trading (Pte) Ltd &amp; PTT International Trading Pte Ltd, Statement of Comprehensive Income, FY 2024, US$'000</t>
  </si>
  <si>
    <t>EBIT calculated as Profit before tax + Finance expense/costs - Finance income/Interest income. Shell Eastern Trading: 1,954,797 + 65,702 - 179,509 = US$1,840,990 thousand (US$1.84B). PTT International Trading (Group): 78,028 + 12,228 - 11,349 = US$78,907 thousand (US$78.9M). Both for FY 2024. Values in US$'000.</t>
  </si>
  <si>
    <t xml:space="preserve">Shell; 47.11.1.1 Shell Eastern Trading Audited Financials FY 2022.pdf; pg 7, "Profit before tax": value for 2022 = 6,221,173,000
Shell; 47.11.1.1 Shell Eastern Trading Audited Financials FY 2023.pdf; pg 7, "Profit before tax": value for 2023=2,088,510,000
Shell; 47.11.1.1 Shell Eastern Trading Audited Financials FY 2024.pdf; pg 7, "Profit before tax":value for 2024 = 1,954,797,000
PTT, 47.11.4.1 PTT Audited Financials FY 2022.pdf, pg 7, Company Profit before taxation 2022 - 76,907,235
PTT, 47.11.4.1 PTT Audited Financials FY 2023.pdf, pg 13, Company Profit before taxation 2023 - 101,217,229
PTT, 47.11.4.1 PTT Audited Financials FY 2024.pdf, pg 8, Company Profit before taxation 2024 - 78,015,000
</t>
  </si>
  <si>
    <t>2026-02-24T09:40:12.215808+00:00</t>
  </si>
  <si>
    <t>Multiple issues: 1) The extracted values use the wrong metric - the datapoint asks for EBIT but the reference uses 'Profit before tax' (which is closer to EBT, not EBIT, but that's the accepted ground truth). 2) The extracted Shell value of 1,840,990 (in thousands = ~$1.84B) does not match the reference FY2024 value of 1,954,797,000 (~$1.95B). 3) The extracted PTT value of 78,907 (in thousands = ~$78.9M) is close to but does not match the reference FY2024 value of 78,015,000. The extractor identified the correct companies and approximate fiscal year but pulled incorrect line items/values.</t>
  </si>
  <si>
    <t>Offtaker Retained Earnings</t>
  </si>
  <si>
    <t>offtaker_retained_earnings</t>
  </si>
  <si>
    <t>Multiple entities found: Shell Eastern Trading (Pte) Ltd and PTT International Trading Pte Ltd</t>
  </si>
  <si>
    <t>The datapoint requests retained earnings 'per offtaker' but does not specify which offtaker. Two entities are present in the documents: Shell Eastern Trading (Pte) Ltd (retained earnings: US$2,817,214 thousand as at 31 Dec 2024) and PTT International Trading Pte Ltd (Group retained earnings: US$382,224 thousand / Company retained earnings: US$363,188 thousand as at 31 Dec 2024). Without knowing which entity is the specific offtaker being requested, the exact value cannot be determined. Most recent retained earnings — Shell: US$2,817,214K (FY2024), PTT Group: US$382,224K (FY2024), PTT Company: US$363,188K (FY2024).</t>
  </si>
  <si>
    <t xml:space="preserve">Shell; 47.11.1.1 Shell Eastern Trading Audited Financials FY 2022.pdf; pg 9, value for 2022 = 5,930,393,000
Shell; 47.11.1.1 Shell Eastern Trading Audited Financials FY 2023.pdf; pg 9, value for 2023=3,558,603,000
Shell; 47.11.1.1 Shell Eastern Trading Audited Financials FY 2024.pdf; pg 9, value for 2024 = 2,817,214,000
PTT, 47.11.4.1 PTT Audited Financials FY 2022.pdf, pg 10, Company Retained Earnings 2022 - 228,369,349
PTT, 47.11.4.1 PTT Audited Financials FY 2023.pdf, pg 14, Company Retained Earnings 2023 - 313,440,682
PTT, 47.11.4.1 PTT Audited Financials FY 2024.pdf, pg 12, Company Retained Earnings 2024 - 363,188,000
</t>
  </si>
  <si>
    <t>2026-02-24T09:40:13.501828+00:00</t>
  </si>
  <si>
    <t>Offtaker Total Assets</t>
  </si>
  <si>
    <t>offtaker_total_assets</t>
  </si>
  <si>
    <t>Shell Eastern Trading (Pte) Ltd and PTT International Trading Pte Ltd, Balance sheets, Total assets, FY 2024, US$'000</t>
  </si>
  <si>
    <t>Two offtakers found. Shell Eastern Trading (Pte) Ltd FY2024 total assets: US$16,127,552 thousand (US$16.13B). PTT International Trading Pte Ltd (Group) FY2024 total assets: US$2,586,641 thousand (US$2.59B). The datapoint requests 'per offtaker' but does not specify which offtaker; both values are from audited FY2024 balance sheets. These are annual (not annualized) figures as balance sheet values are point-in-time.</t>
  </si>
  <si>
    <t>Shell; 47.11.1.1 Shell Eastern Trading Audited Financials FY 2022.pdf; pg 8, value for 2022 = 21,822,162,000
Shell; 47.11.1.1 Shell Eastern Trading Audited Financials FY 2023.pdf; pg 8, value for 2023 = 16,075,492,000
Shell; 47.11.1.1 Shell Eastern Trading Audited Financials FY 2024.pdf; pg 8, value for 2024 = 16,127,552,000
PTT; 47.11.4.3 PTT Audited Financials FY 2024.pdf; pg 12, total asset value at company level for 2024 = 2,522,026,000 + 4,429,000 = 2,526,455,000
PTT; 47.11.4.2 PTT Audited Financials FY 2023.pdf; pg 14,total asset value at company level for 2023 = 2,655,457,118 + 13,275,121 = 2,668,732,239
PTT; 47.11.4.1 PTT Audited Financials FY 2022.pdf; pg 10, total asset value for 2022 at company level = 2,268,172,453 + 12,873,065 = 2,281,045,518</t>
  </si>
  <si>
    <t>2026-02-24T09:40:25.408781+00:00</t>
  </si>
  <si>
    <t>Operating Days Per Year</t>
  </si>
  <si>
    <t>operating_days_per_year</t>
  </si>
  <si>
    <t>Copy of 47.1.4 02_ProjectPEC_Financial Model_v0.617.xlsb, Flags section (Chunks 1 and 2)</t>
  </si>
  <si>
    <t>per project, per calendar year</t>
  </si>
  <si>
    <t>No single 'Operating Days Per Year' input parameter was found. The model tracks operating days on a monthly basis with periodic reductions for maintenance shutdowns (some months show 24 or 0 operating days instead of full calendar days). The 'Days per year (Actual)' row shows 365 or 366 (calendar days accounting for leap years), not operating days. Annual operating days would need to be calculated by summing the 12 monthly values for each year and would vary year-to-year depending on maintenance schedules. Typical years without major turnarounds appear to have ~358 operating days, while years with major turnarounds (showing a month with 0 days) have fewer (~334 days).</t>
  </si>
  <si>
    <t>project finance model, 
excel sheet:  C_ops
row 13, sum up for each year
358 days per calendar year</t>
  </si>
  <si>
    <t>2026-02-24T09:40:38.594473+00:00</t>
  </si>
  <si>
    <t>Performance and Warranty Bond Percentage</t>
  </si>
  <si>
    <t>performance_and_warranty_bond_percentage</t>
  </si>
  <si>
    <t>Copy of 47.3.1.1.1.1 EPCC Contract - CNCEC+PEC.docx, Section: THE CONTRACTOR &gt; Contractor Securities &gt; Performance and Warranty Bond (Sub-Clause 4.2.1); also confirmed in Copy of 47.11.5.1 EPCC Contract - (W&amp;C Draft_ 18 Nov 2025).docx, same section</t>
  </si>
  <si>
    <t>The Performance and Warranty Bond is set at 15% of the Contract Price initially. It reduces to 7.5% of the Contract Price upon issuance of the Initial Acceptance Certificate. Both EPCC contracts (CNCEC+PEC and the W&amp;C Draft dated 18 Nov 2025) specify the same percentage.</t>
  </si>
  <si>
    <t>EPCC Contract, 47.3.1.1.1.1 EPCC Contract - CNCEC+PEC.docx, pg42 of document, 
Prior to the Commencement Date, the Contractor shall furnish an unconditional, on-demand and irrevocable bank guarantee payable on first demand of the Owner, issued by an Acceptable Provider, in the form given in Exhibit VI [Form of Performance and Warranty Bond], in an amount equal to fifteen percent (15%) of the Contract Price, as security for the Contractor's proper performance of all its obligations under the Contract (the “Performance and Warranty Bond”). The Performance and Warranty Bond shall be governed by the laws of England and Wales. The amount of the Performance and Warranty Bond shall be reduced to an amount equal to seven point five percent (7.5%) of the Contract Price upon the issuance of the Initial Acceptance Certificate. The Performance and Warranty Bond (or any replacement thereof) shall be valid until the ninetieth (90th) day after the date of the Final Acceptance Certificate. The effectiveness of the Performance and Warranty Bond shall be conditional upon the receipt by the Contractor of the Advance Payment.</t>
  </si>
  <si>
    <t>2026-02-24T09:40:27.325912+00:00</t>
  </si>
  <si>
    <t>The extracted value of 15 matches the reference answer which states the Performance and Warranty Bond is 'fifteen percent (15%) of the Contract Price'. The extracted value correctly captures the percentage as a float.</t>
  </si>
  <si>
    <t>Project Capacity (main product)</t>
  </si>
  <si>
    <t>project_capacity_(main_product)</t>
  </si>
  <si>
    <t>Para-xylene: 1,683,000 KMTA (4,808 Metric Tons per Operating Day); Benzene: 591,000 KMTA (1,688 Metric Tons per Operating Day)</t>
  </si>
  <si>
    <t>Copy of 47.3.2.1.1.2.1 PEC - Licens.pdf, Schedule A, Definition 3 (Aromatics Complex); also referenced in Engineering Agreement Amendment S0132622.A003 noting 2000 KMTA Paraxylene capacity for the latest design</t>
  </si>
  <si>
    <t>Reference Plant Capacity Ratio</t>
  </si>
  <si>
    <t>Technology</t>
  </si>
  <si>
    <t>The project is a Condensate Refinery and Aromatics Complex at Pengerang, Johor, Malaysia. The main revenue-generating products (Specified Products) are Para-xylene at 1,683,000 Metric Tons per calendar year (based on 8,400 operating hours) and Benzene at 591,000 Metric Tons per calendar year. Para-xylene is the larger capacity product. Note that Engineering Agreement Amendment A003 references a Blanked Out Schedule A based on 2,000 KMTA Paraxylene capacity for an updated Aromatics complex design, which may represent a revised/expanded capacity target.</t>
  </si>
  <si>
    <t>47.3.2.1.1.1.1 01_PEC En.pdf
document page 36, Ans: 1683 KMTA of Paraxylene</t>
  </si>
  <si>
    <t>2026-02-24T09:40:35.945881+00:00</t>
  </si>
  <si>
    <t>The extracted value correctly identifies the main product capacity as 1,683 KMTA of Paraxylene, matching the reference answer exactly. The extraction also includes additional details (daily tonnage and Benzene capacity) that go beyond the reference but do not contradict it. A minor concern is the mention of a 2000 KMTA figure from another document, but the primary extracted value matches perfectly.</t>
  </si>
  <si>
    <t>Project Country</t>
  </si>
  <si>
    <t>project_country</t>
  </si>
  <si>
    <t>Malaysia</t>
  </si>
  <si>
    <t>Copy of 47.1.6 06_PEC Pitch_Jan 26_Sub Debt.pdf, Section: Overview &gt; Global Trade and Site Location Map; Copy of 47.8.1.2 Environmental Report_Ramboll_Dec 23.pdf, Section: Executive Summary &gt; The Project; Section: 2.1 Site Location &gt; 2.1.1 Malaysian Context</t>
  </si>
  <si>
    <t>Site Location Maps</t>
  </si>
  <si>
    <t>03. Site, Land &amp; Access Rights</t>
  </si>
  <si>
    <t>Country Risk</t>
  </si>
  <si>
    <t>Overall</t>
  </si>
  <si>
    <t>The Pengerang Energy Complex (PEC) is located in Pengerang, State of Johor, Malaysia. Multiple sources consistently confirm the project country as Malaysia, with the site strategically positioned on the south-east tip of Peninsular Malaysia.</t>
  </si>
  <si>
    <t>47.1.6 06_PEC Pitch_Jan 26_Sub Debt.pdf 
pg3
Ans: Malaysia</t>
  </si>
  <si>
    <t>2026-02-24T09:40:41.267135+00:00</t>
  </si>
  <si>
    <t>The extracted value 'Malaysia' exactly matches the reference answer 'Malaysia'.</t>
  </si>
  <si>
    <t>Project Location</t>
  </si>
  <si>
    <t>project_location</t>
  </si>
  <si>
    <t>Copy of 47.8.1.2 Environmental Report_Ramboll_Dec 23.pdf and Copy of 47.1.6 06_PEC Pitch_Jan 26_Sub Debt.pdf</t>
  </si>
  <si>
    <t>The documents describe the project location qualitatively (southeast tip of Malaysia, within Pengerang Integrated Petrochemical Complex, Johor) and include aerial/schematic maps, but no GPS coordinates are provided in any of the retrieved chunks. The expected source document type 'Site Location Maps' was not found in the provided context, and the available location maps describe the site in narrative/visual form without specifying precise coordinates.</t>
  </si>
  <si>
    <t>47.1.6 06_PEC Pitch_Jan 26_Sub Debt.pdf 
pg3
Ans:
Pengerang Integrated Petrochemical Complex (PIPC)</t>
  </si>
  <si>
    <t>2026-02-24T09:40:44.590298+00:00</t>
  </si>
  <si>
    <t>Project Total Capex</t>
  </si>
  <si>
    <t>project_total_capex</t>
  </si>
  <si>
    <t>Sheet: Output_Annual, Row: 'Total capex (excl. financing cost) - construction phase', Year 2029</t>
  </si>
  <si>
    <t>Reference CAPEX Ratio</t>
  </si>
  <si>
    <t>Value is in USDk (thousands of US dollars). The total capex of -379,524.0 USDk (i.e., ~$379.5 million) appears in 2029 (construction phase) and is 0.0 in all subsequent years, indicating it represents the full project capital expenditure during construction. Note this excludes financing costs as stated in the row label.</t>
  </si>
  <si>
    <t>From Project Finance Model - Dashboard, M31 = 3,765,250,000</t>
  </si>
  <si>
    <t>2026-02-24T09:40:51.753110+00:00</t>
  </si>
  <si>
    <t>The extracted value of -379,524.0 is vastly different from the reference value of 3,765,250,000. The extracted value appears to be a single year's capex figure from the Output_Annual sheet (possibly in thousands), while the reference is the total project capex from the Dashboard. Even accounting for potential unit differences, these values do not match.</t>
  </si>
  <si>
    <t>Project Total Raise</t>
  </si>
  <si>
    <t>project_total_raise</t>
  </si>
  <si>
    <t>Copy of 47.1.6 06_PEC Pitch_Jan 26_Sub Debt.pdf, Section: PEC Capital Structure: Sources &amp; Uses of Funds</t>
  </si>
  <si>
    <t>Total project cost is USD 5,411.6 million (also referenced as approximately USD 5.4 billion in the Key Parameters section). This figure represents both Total Sources and Total Uses of Funds. Unit: USD millions.</t>
  </si>
  <si>
    <t>47.1.6 06_PEC Pitch_Jan 26_Sub Debt.pdf, pg 15, 
Ans: USD 5.4 bln</t>
  </si>
  <si>
    <t>2026-02-24T09:40:55.550566+00:00</t>
  </si>
  <si>
    <t>The extracted value of 5411.6 (likely in millions) corresponds to approximately USD 5.4 billion, which matches the reference answer of USD 5.4 bln. The slight difference (5.4116 bln vs 5.4 bln) is due to the reference rounding to one decimal place. The values represent the same quantity.</t>
  </si>
  <si>
    <t>Storage Cost Formula</t>
  </si>
  <si>
    <t>storage_cost_formula</t>
  </si>
  <si>
    <t>Monthly Storage Fee = Tariff (S$/m³/month) x Total Capacity (m³); with annual CPI escalation: (Y) = (Y-1) * (IF), where (Y) = Fixed Charges in prevailing contractual year, (Y-1) = Fixed Charges in preceding contractual year, (IF) = Escalation Factor = 1 + 0.4 * CPI (CPI minimum 0%, maximum 3%)</t>
  </si>
  <si>
    <t>Copy of 47.3.5.1.2.1.1 PEC TSA dated 15 May 2.docx, Schedule A (Service Charges) - Fixed Charges section; and Copy of 47.3.5.1.1.1.1 Dialog Signed Ter.pdf, Appendix A Section 2.5.1</t>
  </si>
  <si>
    <t>The TSA does not provide a single explicit 'Total Storage Cost Formula' label. The storage cost is composed of: (1) Fixed Charges calculated as tariff rate per m³/month multiplied by total capacity (e.g., S$9.01/m³ × 591,368 m³ for feedstock/petrochemicals/refined petroleum, and S$36.60/MT × 400,000 MT / 12 for LPG), on a take-or-pay basis; (2) Annual escalation formula: (Y) = (Y-1) * (1 + 0.4 * CPI), with CPI capped at 3% and floored at 0%; plus (3) Variable charges for excess throughput and other services. The Dialog Commercial Proposal confirms Monthly Charges = Tariff (A) × Total Capacity (B), totaling S$10,809,637/month across all product categories.</t>
  </si>
  <si>
    <t>sum of Charges per month x total capacity, and partial basis of 40% pegged to malaysia consumer price index and applicable price index is capped at 3%</t>
  </si>
  <si>
    <t>2026-02-24T09:41:16.142908+00:00</t>
  </si>
  <si>
    <t>The extracted value captures the core formula (tariff x total capacity for monthly fee) and the CPI escalation mechanism (40% pegged to CPI, capped at 3%, floored at 0%). However, there are discrepancies: the reference mentions 'sum of Charges per month' (suggesting multiple charge components) vs a single tariff, the reference specifies 'Malaysia consumer price index' while the extracted value doesn't specify which CPI, and the extracted value uses S$ (Singapore dollars) which may conflict with Malaysia CPI reference. The key structural elements (capacity-based charging, 40% CPI linkage, 3% cap) are correctly captured.</t>
  </si>
  <si>
    <t>Storage Demurrage Rate Cap</t>
  </si>
  <si>
    <t>storage_demurrage_rate_cap</t>
  </si>
  <si>
    <t>Copy of 47.3.5.1.2.1.1 PEC TSA dated 15 May 2.docx, Section 22: NO DEMURRAGE</t>
  </si>
  <si>
    <t>The Terminal Services Agreement specifies a demurrage liability cap of SGD 100,000.00 per Contract Year. This is the only storage-related demurrage rate/cap found in the provided context. The value is in SGD (Singapore Dollars), not a per-unit rate but rather an annual cap on demurrage claims for which the Terminal Operator is liable. No explicit 'demurrage rate for storage' as a per-unit rate was found in the Storage &amp; Handling Agreement documents.</t>
  </si>
  <si>
    <t>SGD 100,000 per year</t>
  </si>
  <si>
    <t>2026-02-24T09:41:14.673478+00:00</t>
  </si>
  <si>
    <t>The extracted value of 100000.00 matches the reference answer of SGD 100,000 per year. The numeric value is equivalent; the currency (SGD) and period (per year) context are not part of the float value itself.</t>
  </si>
  <si>
    <t>Storage Terminal Construction Liquidated Damages Cap</t>
  </si>
  <si>
    <t>storage_terminal_construction_liquidated_damages_cap</t>
  </si>
  <si>
    <t>Copy of 47.3.5.1.2.1.1 PEC TSA dated 15 May 2.docx, Section 4.3.1 - Liquidated Damages for Delay</t>
  </si>
  <si>
    <t>The maximum liquidated damages cap is SGD 14,400,000 (SGD 14.4 million), calculated as SGD 80,000 per day × 180 days maximum. This is the cap for delay in the Services Commencement Date. The same figure of SGD 14.4m also appears in Clause 3.2A as the agreed liquidated damages for termination under Clause 3.1.4. Currency is SGD.</t>
  </si>
  <si>
    <t>daily rate of SGD 100,000 per day per condensate tank, SGD 80,000 per day per other product tank, capped at 6 months.</t>
  </si>
  <si>
    <t>2026-02-24T09:41:20.385052+00:00</t>
  </si>
  <si>
    <t>Comparison failed: Expecting value: line 1 column 1 (char 0)</t>
  </si>
  <si>
    <t>Storage Terminal Construction Liquidated Damages Rate</t>
  </si>
  <si>
    <t>storage_terminal_construction_liquidated_damages_rate</t>
  </si>
  <si>
    <t>per project, per type of product</t>
  </si>
  <si>
    <t>The rate is SGD 80,000.00 per day, applicable for delays in the Services Commencement Date beyond the Scheduled Services Commencement Date, up to a maximum of 180 days. This is a general storage terminal services delay LD rate and is not differentiated by type of product. The document does not break this rate down per product type.</t>
  </si>
  <si>
    <t>daily rate of SGD 100,000 per day per condensate tank, SGD 80,000 per day per other product tank</t>
  </si>
  <si>
    <t>2026-02-24T09:41:25.635513+00:00</t>
  </si>
  <si>
    <t>The extracted value of 80,000 matches one component of the liquidated damages rate (SGD 80,000 per day per other product tank), but misses the other rate of SGD 100,000 per day per condensate tank. The reference contains two distinct rates, and only one was captured. Additionally, the datapoint asks for a single float, but the ground truth contains two different rates depending on tank type, making a single float insufficient to represent the full answer.</t>
  </si>
  <si>
    <t>Storage Terminal Contract Term</t>
  </si>
  <si>
    <t>storage_terminal_contract_term</t>
  </si>
  <si>
    <t>Copy of 47.3.5.1.2.1.1 PEC TSA dated 15 May 2.docx; Copy of 47.3.5.1.1.1.1 Dialog Signed Ter.pdf</t>
  </si>
  <si>
    <t>The provided chunks do not contain the specific contract term/duration for the storage terminal facilities usage. The Dialog document (Chunk 5) references a 'Contractual Period' section (Section 2.1) in its table of contents, but the actual content of that section was not included in the retrieved chunks. The PEC TSA chunks cover various operational, financial, and construction provisions but do not specify the overall contract term/duration.</t>
  </si>
  <si>
    <t>25 years</t>
  </si>
  <si>
    <t>2026-02-24T09:41:37.441993+00:00</t>
  </si>
  <si>
    <t>Storage Terminal Contract Term Extension</t>
  </si>
  <si>
    <t>storage_terminal_contract_term_extension</t>
  </si>
  <si>
    <t>Copy of 47.3.5.1.2.1.1 PEC TSA dated 15 May 2.docx - all provided chunks reviewed</t>
  </si>
  <si>
    <t>The provided chunks from the PEC TSA do not contain information about contract term extension provisions. While the document's Appendix A table of contents (from the Dialog terminal agreement) references a 'Contractual Period' section (2.1), the actual content of that section was not included in the retrieved chunks. The chunks cover SBLC provisions, maintenance, delay damages, construction/design, services commencement date, and standard service guidelines, but no specific contract term extension clause was found.</t>
  </si>
  <si>
    <t>not available</t>
  </si>
  <si>
    <t>2026-02-24T09:41:39.848345+00:00</t>
  </si>
  <si>
    <t>Storage Terminal Contract Term Start Year</t>
  </si>
  <si>
    <t>storage_terminal_contract_term_start_year</t>
  </si>
  <si>
    <t>Copy of 47.3.5.1.2.1.1 PEC TSA dated 15 May 2.docx, Section 4 (Services Commencement Date)</t>
  </si>
  <si>
    <t>The TSA does not specify a fixed start year for the storage facility usage. The Services Commencement Date is determined through a procedural process: it falls within a 'Planned Start Window' of 3 months commencing after the Mechanical Completion Date (MCD) of the Tanks, which itself occurs 24 months after Terminal Operator's written notification under Clause 3.1.3. The actual start year depends on when that written notification is issued, which is not provided in the available context. No explicit calendar year is stated for the contract term start.</t>
  </si>
  <si>
    <t>aligned with commencement year</t>
  </si>
  <si>
    <t>2026-02-24T09:41:45.159549+00:00</t>
  </si>
  <si>
    <t>Storage Terminal Handling Entity</t>
  </si>
  <si>
    <t>storage_terminal_handling_entity</t>
  </si>
  <si>
    <t>PITSB</t>
  </si>
  <si>
    <t>Copy of 47.3.5.1.2.1.1 PEC TSA dated 15 May 2.docx, Section 23 (Dedicated and Shared/Common Facilities) and contextual references throughout the document</t>
  </si>
  <si>
    <t>The TSA is between PEC (Customer) and PITSB (Terminal Operator/handling entity). PITSB is identified as the terminal handling entity in the document context. The Terminal Operator's parent company is Dialog Terminals Sdn Bhd as referenced in Section 3.4 (Parent Guarantee). PITSB likely stands for Pengerang Independent Terminals Sdn Bhd.</t>
  </si>
  <si>
    <t>Dialog Terminal</t>
  </si>
  <si>
    <t>2026-02-24T09:41:50.258801+00:00</t>
  </si>
  <si>
    <t>The extracted value 'PITSB' does not match the reference answer 'Dialog Terminal'. PITSB appears to be a different entity entirely from Dialog Terminal, which is the correct storage terminal handling entity.</t>
  </si>
  <si>
    <t>Storage Terminal Liability Cap</t>
  </si>
  <si>
    <t>storage_terminal_liability_cap</t>
  </si>
  <si>
    <t>Copy of 47.3.5.1.2.1.1 PEC TSA dated 15 May 2.docx, Section 28.1 Limits of Liability</t>
  </si>
  <si>
    <t>The document references a liability cap for the Terminal Services Agreement in Clause 28.1.5, but the actual value/amount specified in Clause 28.1.5 is not included in the provided context chunks. Chunk 5 (Clause 28.1.3) references 'the limit of liability set out in Clause 28.1.5' but that clause's specific cap amount is not provided. A demurrage-specific cap of SGD 100,000 per Contract Year is mentioned in Clause 22 (Chunk 1), but this is specific to demurrage/detention charges, not the overall TSA liability cap. The full Clause 28.1.5 content would be needed to extract the Terminal Service Agreement liability cap.</t>
  </si>
  <si>
    <t>SGD 3M per year</t>
  </si>
  <si>
    <t>2026-02-24T09:41:53.749692+00:00</t>
  </si>
  <si>
    <t>Total Feedstock Supply Contracted Baseline</t>
  </si>
  <si>
    <t>total_feedstock_supply_contracted_baseline</t>
  </si>
  <si>
    <t>Condensate: 30 million barrels; Full Range Naphtha: 170 KT</t>
  </si>
  <si>
    <t>per year, per feedstock</t>
  </si>
  <si>
    <t>The documents only provide Shell/SIETCO's contracted baseline quantities. The Equinor agreement (47.2.2.2.1) references facility capacity of 150,000 barrels/day condensate and 935 MT/day FRN but does not specify Equinor's exact contracted annual quantities in the provided chunks. Therefore, the total across all suppliers cannot be fully summed. Shell's baseline ACQ is: Condensate = minimum 30 million barrels per Contract Year; Full Range Naphtha = minimum 170 KT per Contract Year (both ±10% tolerance). Equinor's specific contracted quantities are not available in the provided context. Units: Condensate in barrels, FRN in kilotonnes (KT).</t>
  </si>
  <si>
    <t>To get the sum across the two contracts. 
(not so easy, we need conversion of units before addition)</t>
  </si>
  <si>
    <t>2026-02-24T09:42:01.262255+00:00</t>
  </si>
  <si>
    <t>The extracted value identifies the two individual feedstock quantities from the two contracts (Condensate: 30 million barrels and Full Range Naphtha: 170 KT), which is the correct raw data needed. However, the task required computing a total by converting units and summing them into a single float value, which was not done. The individual components appear to be correctly extracted, but the final aggregated baseline number is missing.</t>
  </si>
  <si>
    <t>Total Fixed Cost</t>
  </si>
  <si>
    <t>total_fixed_cost</t>
  </si>
  <si>
    <t>Copy of 47.1.4 02_ProjectPEC_Financial Model_v0.617.xlsb, Section 2.6 Fixed cost</t>
  </si>
  <si>
    <t>per year, month, and day</t>
  </si>
  <si>
    <t>The document provides individual fixed cost line items per year (Maintenance as % of EPC, O&amp;M Expense: $3,000k/year, Connected Services: $350k/year, Land Charge: $8,000k/year, Storage &amp; Terminaling: $118,242.5k/year, Insurance as % of EPC+UOP, Nitrogen: $1,600k/year) but does not provide a single 'Total Fixed Cost' figure aggregated across all categories. Additionally, some costs are expressed as percentages of EPC contract value rather than absolute amounts, making a simple sum impossible without further calculation. No computed total fixed cost broken down by year, month, and day was found in the provided context.</t>
  </si>
  <si>
    <t>Apr 2026 - Dec 2029:
C_Cons Sheet,  F113 Total Capex = 3,765,250,000 
Jan 2030 onwards:
Project Finance Model, C_Ops Sheet, Row 773 Total Fixed Cost, ALL</t>
  </si>
  <si>
    <t>2026-02-24T09:42:10.473378+00:00</t>
  </si>
  <si>
    <t>Total Storage Cost</t>
  </si>
  <si>
    <t>total_storage_cost</t>
  </si>
  <si>
    <t>Copy of 47.1.4 02_ProjectPEC_Financial Model_v0.617.xlsb, Section 2.6.1 Fixed costs per year - 'Fixed Cost - Storage &amp; Terminaling'</t>
  </si>
  <si>
    <t>Value is USD 118,242.5 thousand per year (USDk/year), equivalent to approximately USD 118.2 million per year. This is the total storage and terminaling cost from the project financial model. The TSA documents (both PEC TSA and Dialog Signed Terminal Agreement) show monthly storage charges of S$10,809,637 (approximately S$129.7M annually). The financial model figure of USD 118,242.5k/year appears to be the USD-converted equivalent used for project modeling. Escalation is 3% p.a. from COD.</t>
  </si>
  <si>
    <t>SGD 10, 809, 637, monthly</t>
  </si>
  <si>
    <t>2026-02-24T09:42:09.698050+00:00</t>
  </si>
  <si>
    <t>The extracted value of 118,242.5 is vastly different from the reference value of SGD 10,809,637 (monthly). The extracted value appears to be off by roughly two orders of magnitude and doesn't match even if we consider different time periods (e.g., 118,242.5 * 12 ≈ 1,418,910, still far from 10,809,637). These represent fundamentally different figures.</t>
  </si>
  <si>
    <t>Types of Feedstock Contracted</t>
  </si>
  <si>
    <t>types_of_feedstock_contracted</t>
  </si>
  <si>
    <t>Condensate (from a basket of pre-agreed grades including: Permian Light Crude / Condensate, North West Shelf Condensate, Gorgon Condensate, Wheatstone Condensate, Bayu Undan Condensate, Senipah Condensate, Geragai Condensate, Bintulu Condensate, Rong Doi Condensate, Cakerawala Condensate, Malampaya Condensate, LSC (Low Sulphur Condensate), DFC (Deodorized Field Condensate), Khuff Condensate, Sharjah Condensate, Margham Condensate, Mellitah Condensate, Brega Condensate, Alba Condensate, Sleipner Condensate, such other Qatari-grade condensate); Full Range Naphtha (N+2A min 35.0%, 50% Distillation min 85°C)</t>
  </si>
  <si>
    <t>Shell Binding Term Sheet (47.11.3.1 and 47.2.1.1.1), Section 1: Feedstock supply, Grade &amp; Quality; Equinor Feedstock Sale and Product Purchase Agreement (47.2.2.2.1), Recitals and Table of Contents</t>
  </si>
  <si>
    <t>Both the Shell and Equinor agreements identify two primary feedstock categories: Condensate and Full Range Naphtha (FRN). The Shell term sheets list 20+ specific pre-agreed condensate grades selected per PEC's linear programming optimization, plus Full Range Naphtha with specified quality parameters. The Equinor agreement similarly covers condensate and full range naphtha as feedstock for PEC's facility (150,000 barrels/day condensate to splitter, 935 MT/day FRN to NHT Unit). Condensate is supplied from a basket of grades of normal export quality as produced.</t>
  </si>
  <si>
    <t>Condensate, Naphtha</t>
  </si>
  <si>
    <t>2026-02-24T09:42:20.584186+00:00</t>
  </si>
  <si>
    <t>The extracted value identifies the two types of feedstock contracted as Condensate and Naphtha (specifically 'Full Range Naphtha'), which matches the reference answer of 'Condensate, Naphtha'. The additional detail about specific grades and quality specifications is supplementary information that doesn't contradict the reference.</t>
  </si>
  <si>
    <t>COUNTA of datapoint</t>
  </si>
  <si>
    <t>Takeaways:</t>
  </si>
  <si>
    <t>FALSE</t>
  </si>
  <si>
    <t>TRUE</t>
  </si>
  <si>
    <t>Grand Total</t>
  </si>
  <si>
    <t>1. overall ~79% (down from ~91%) extraction success now with accuracy sitting at around ~50% (down from ~65%)</t>
  </si>
  <si>
    <t>Rough accuracy:</t>
  </si>
  <si>
    <t>2. `float` datapoints extraction rate dropped from ~74% to ~87.5%. Integers dropped to 61% from 100%, surprising result compared to last Friday.</t>
  </si>
  <si>
    <t>3. "02. Financials &amp; Commercials" rate dropped from 100% to 66.7%</t>
  </si>
  <si>
    <t>4. Technology risk oracle maintains 100% completeness, with Construction in 2nd at 91%.</t>
  </si>
  <si>
    <t>5. there are 19 missing datapoints, mostly from the Offtaker, Overall, and Offtaker categories.</t>
  </si>
  <si>
    <t>6. Accuracy rate of 43%</t>
  </si>
  <si>
    <t>Value Match</t>
  </si>
  <si>
    <t>(Multiple Items)</t>
  </si>
  <si>
    <t>RAG Layer Group</t>
  </si>
  <si>
    <t>COUNTA of Datapoint</t>
  </si>
  <si>
    <t>CRITICAL</t>
  </si>
  <si>
    <t>Accuracy</t>
  </si>
  <si>
    <t>Extraction x Accuracy</t>
  </si>
  <si>
    <t>everything else</t>
  </si>
  <si>
    <t>Low</t>
  </si>
  <si>
    <t>None</t>
  </si>
  <si>
    <t>Low–Medium</t>
  </si>
  <si>
    <t>VERY HIGH</t>
  </si>
  <si>
    <t>Primary Error Category</t>
  </si>
  <si>
    <t>INCOMPLETE_ENTITY_ENUMERATION</t>
  </si>
  <si>
    <t>MODEL_NAVIGATION_FAILURE</t>
  </si>
  <si>
    <t>RETRIEVAL_FAILURE</t>
  </si>
  <si>
    <t>RETRIEVAL_INSUFFICIENCY</t>
  </si>
  <si>
    <t>Wrong Legal Entity Selection</t>
  </si>
  <si>
    <t>WRONG_ROW_SELECTION</t>
  </si>
  <si>
    <t>WRONG_SHEET_SELECTION</t>
  </si>
  <si>
    <t>WRONG_SOURCE_SELECTION</t>
  </si>
  <si>
    <t>Datapoint</t>
  </si>
  <si>
    <t>Entity / Breakdown Key</t>
  </si>
  <si>
    <t>Primitive / Derived</t>
  </si>
  <si>
    <t>Risk Criticality</t>
  </si>
  <si>
    <t>Expected Value</t>
  </si>
  <si>
    <t>Expected Count</t>
  </si>
  <si>
    <t>Extracted Value</t>
  </si>
  <si>
    <t>Extracted Count</t>
  </si>
  <si>
    <t>Extraction Status</t>
  </si>
  <si>
    <t>Count Match</t>
  </si>
  <si>
    <t>Expected Source Document</t>
  </si>
  <si>
    <t>Retrieved Document</t>
  </si>
  <si>
    <t>Document Match</t>
  </si>
  <si>
    <t>Expected Category</t>
  </si>
  <si>
    <t>Retrieved Category</t>
  </si>
  <si>
    <t>Category Match</t>
  </si>
  <si>
    <t>Evidence Present in Chunk</t>
  </si>
  <si>
    <t>RAG Layer Affected</t>
  </si>
  <si>
    <t>Root Cause Hypothesis</t>
  </si>
  <si>
    <t>Severity</t>
  </si>
  <si>
    <t>Fix Priority</t>
  </si>
  <si>
    <t>Notes</t>
  </si>
  <si>
    <t>Primitive</t>
  </si>
  <si>
    <t>condensate - 9,840,000
 total for sour naphtha, paraxylene, benzene, jet kerosene, diesel, light naphtha, low sulfur fuel oil = 10,300,000
 propane &amp; butane 554,268</t>
  </si>
  <si>
    <t>Extracted</t>
  </si>
  <si>
    <t>Wrong</t>
  </si>
  <si>
    <t>Partial</t>
  </si>
  <si>
    <t>YES</t>
  </si>
  <si>
    <t>Incomplete Multi-Entity Extraction</t>
  </si>
  <si>
    <t>Extraction Prompt Layer</t>
  </si>
  <si>
    <r>
      <rPr>
        <sz val="10"/>
        <color theme="1"/>
        <rFont val="Inter"/>
      </rPr>
      <t xml:space="preserve">The model:
Collapsed a multi-entity datapoint into a single numeric scalar.
Picked one subgroup (10.3M) and ignored the others.
It's is not a retrieval failure.
The TSA document was correct.
The issue is multi-value aggregation logic.
</t>
    </r>
    <r>
      <rPr>
        <b/>
        <sz val="10"/>
        <color theme="1"/>
        <rFont val="Inter"/>
      </rPr>
      <t>Prompt optimized for single scalar output; did not instruct Claude to enumerate per-feedstock breakdown</t>
    </r>
  </si>
  <si>
    <t>Ground Truth (PEC)
Three separate entitlements:
Condensate → 9,840,000
Other products total → 10,300,000
Propane &amp; butane → 554,268
Extracted
10,300,000 (single value only)</t>
  </si>
  <si>
    <t>Full</t>
  </si>
  <si>
    <t>Scope Expansion / Over-extraction</t>
  </si>
  <si>
    <r>
      <rPr>
        <sz val="10"/>
        <color theme="1"/>
        <rFont val="Inter"/>
      </rPr>
      <t xml:space="preserve">The model added LPG unit.
PEC definition scope appears to be feedstock entitlement only, not LPG.
This is a scope over-expansion error.
Not retrieval. Not chunking.
Claude overgeneralized from same schedule.
</t>
    </r>
    <r>
      <rPr>
        <b/>
        <sz val="10"/>
        <color theme="1"/>
        <rFont val="Inter"/>
      </rPr>
      <t>Prompt does not constrain answer strictly to datapoint scope (Feedstock only)</t>
    </r>
  </si>
  <si>
    <r>
      <rPr>
        <sz val="10"/>
        <color theme="1"/>
        <rFont val="Inter"/>
      </rPr>
      <t xml:space="preserve">Ground Truth
m³ for condensate and all other products
Extracted
m³ for Feedstock, Petrochemicals and Refined Petroleum
metric ton for LPG
</t>
    </r>
    <r>
      <rPr>
        <b/>
        <sz val="10"/>
        <color theme="1"/>
        <rFont val="Inter"/>
      </rPr>
      <t>Unit logic correct but scope drift introduced LPG</t>
    </r>
  </si>
  <si>
    <t>None (Financial Model direct lookup worked)</t>
  </si>
  <si>
    <t>N/A</t>
  </si>
  <si>
    <t>Ground Truth
1/1/2030 (Dashboard G21)
Extracted
2030-01-01</t>
  </si>
  <si>
    <t>Derived</t>
  </si>
  <si>
    <t>CNCC 
 47.11.6.1 2022.pdf - Total Shareholders' Equity - not available
 47.11.6.2 2024.pdf - Total Shareholders' Equity - pg10, 64,072,162,061.48 CNY
 47.11.6.3 2024.pdf - Total Shareholders' Equity - pg10, 68,897,813,204.52 CNY</t>
  </si>
  <si>
    <t>YES (but wrong entity)</t>
  </si>
  <si>
    <t>Retrieval Filtering Layer</t>
  </si>
  <si>
    <r>
      <rPr>
        <sz val="10"/>
        <color theme="1"/>
        <rFont val="Inter"/>
      </rPr>
      <t xml:space="preserve">The model:
Retrieved correct category (EPCC audited FS)
But selected wrong legal entity (subsidiary vs CNCC parent)
This is not a hallucination.
This is Entity Disambiguation Failure.
-------
</t>
    </r>
    <r>
      <rPr>
        <b/>
        <sz val="10"/>
        <color theme="1"/>
        <rFont val="Inter"/>
      </rPr>
      <t>Entity name resolution not constrained to CNCC; model selected International Corp due to textual similarity</t>
    </r>
  </si>
  <si>
    <r>
      <rPr>
        <sz val="10"/>
        <color theme="1"/>
        <rFont val="Inter"/>
      </rPr>
      <t xml:space="preserve">Ground Truth
CNCC consolidated:
64B CNY
68B CNY
Extracted
301M RMB (subsidiary International Corp)
This is a critical entity resolution failure.
----
</t>
    </r>
    <r>
      <rPr>
        <b/>
        <sz val="10"/>
        <color theme="1"/>
        <rFont val="Inter"/>
      </rPr>
      <t>Financial magnitude difference (millions vs billions) indicates entity misalignment</t>
    </r>
  </si>
  <si>
    <t>CNCC 
 47.11.6.1 2022.pdf - Current Asset - not available
 47.11.6.2 2024.pdf - Current Asset (2023) - pg9, 169,386,418,650.81 CNY
 47.11.6.2 2023.pdf
 - Current Asset (2023) - pg 6, 1,379,976,925.35
 *values are different*
 47.11.6.3 2024.pdf - Current Asset - pg9 - 175,156,690,646.71 CNY</t>
  </si>
  <si>
    <t>- entity resolution logic is weak for financial statements.
- Query did not enforce CNCC parent entity; retrieved subsidiary financials</t>
  </si>
  <si>
    <r>
      <rPr>
        <sz val="10"/>
        <color theme="1"/>
        <rFont val="Inter"/>
      </rPr>
      <t xml:space="preserve">Ground Truth
CNCC consolidated:
169B
175B
1.37B (subsidiary)
conflicting values
Extracted
1.37B (subsidiary again)
----
</t>
    </r>
    <r>
      <rPr>
        <b/>
        <sz val="10"/>
        <color theme="1"/>
        <rFont val="Inter"/>
      </rPr>
      <t>Repeated pattern across multiple EPCC datapoints</t>
    </r>
  </si>
  <si>
    <t>CNCC 
 47.11.6.1 2022.pdf - Current Liabilities - not available 
 47.11.6.2 2024.pdf - Current Liabilities (2023) - pg10, 143,546,048,214.48
 47.11.6.2 2023.pdf
 - Current Liabilities (2023) - pg 7, 1,080,653,591.04
 *values are different*
 47.11.6.3 2024.pdf - Current Liabilities - pg 10 155,584,303,557.49</t>
  </si>
  <si>
    <t>No deterministic entity constraint → parent and subsidiary values mixed</t>
  </si>
  <si>
    <r>
      <rPr>
        <sz val="10"/>
        <color theme="1"/>
        <rFont val="Inter"/>
      </rPr>
      <t xml:space="preserve">Extracted:
2023 → 1,080,653,591.04 (subsidiary)
2024 → 155,584,305,557.49 (parent)
Ground truth includes:
143B (parent 2023)
1.08B (subsidiary 2023)
155.584303557.49 (parent 2024)
</t>
    </r>
    <r>
      <rPr>
        <b/>
        <sz val="10"/>
        <color theme="1"/>
        <rFont val="Inter"/>
      </rPr>
      <t>Issues:</t>
    </r>
    <r>
      <rPr>
        <sz val="10"/>
        <color theme="1"/>
        <rFont val="Inter"/>
      </rPr>
      <t xml:space="preserve">
Mixed entities again.
2024 value off by 2,000 (minor numeric drift).
No 2022 entry.
No 2023 parent value (143B) included.
This is entity mixing + minor magnitude rounding error.</t>
    </r>
  </si>
  <si>
    <t>Incorrect</t>
  </si>
  <si>
    <t>YES (income statements present)</t>
  </si>
  <si>
    <t>NO_ERROR</t>
  </si>
  <si>
    <t>PEC answer is blank. No reference.
Extraction = NOT_FOUND.
This is correct behavior.</t>
  </si>
  <si>
    <t>CNCC 
 47.11.6.1 2022.pdf - Current Retained Earnings - not available.
 47.11.6.2 2023.pdf - Retained Earnings - pg7, 1,383,569,761.23 
 47.11.6.3 2024.pdf - Retained Earnings - pg 10, 62,</t>
  </si>
  <si>
    <t>Retrieval Filtering Layer
----
Ambiguity in EPCC definition → subsidiary selected for some years</t>
  </si>
  <si>
    <t>Again:
Entity mixing
Wrong 2023 value (huge magnitude mismatch)</t>
  </si>
  <si>
    <r>
      <rPr>
        <sz val="10"/>
        <color theme="1"/>
        <rFont val="Inter"/>
      </rPr>
      <t xml:space="preserve">Ground truth (CNCC parent):
2023 → 1,383,569,761.23
2024 → (incomplete in PEC but clearly large parent value)
2022 → not available
Extracted:
2023 → 1,188,938.16 (subsidiary)
2024 → 37B (parent)
2022 → NOT_FOUND
----
</t>
    </r>
    <r>
      <rPr>
        <b/>
        <sz val="10"/>
        <color theme="1"/>
        <rFont val="Inter"/>
      </rPr>
      <t>Third recurrence of same EPC entity problem</t>
    </r>
  </si>
  <si>
    <t>CNCC 
 47.11.6.1 2022.pdf - Total Assets - not available
 47.11.6.2 2023.pdf - Total Assets - pg6, 1,383,569,761.23
 47.11.6.3 2024.pdf - Total Assets - pg 9, 233,421,377,309.40</t>
  </si>
  <si>
    <t>Ground truth:
2023 → 1.38B (subsidiary)
2024 → 233B (parent)
2022 → not available
Extracted:
Matches all three exactly.
Even though entity attribution commentary is confused,
the numbers match PEC.</t>
  </si>
  <si>
    <t>None (Financial Model path works)</t>
  </si>
  <si>
    <t>Ground truth: 45 months
Extracted: 45</t>
  </si>
  <si>
    <t>Ground truth: 4/1/2026
Extracted: 2026-04-01</t>
  </si>
  <si>
    <t>Shell - No answer, equinor, no answer
 equinor - no answer.</t>
  </si>
  <si>
    <t>Ground truth: No answer
Extracted: NOT_FOUND</t>
  </si>
  <si>
    <t>Pengerang Energy Complex Sdn Bhd, pg 1, 
 File - 47.2.1.1.1 Commercial Term Sheet Shell - Feedstock.docx</t>
  </si>
  <si>
    <t>SCOPE_DRIFT</t>
  </si>
  <si>
    <t>Not retrieval error.
Not entity confusion.
It retrieved correct docs.
Prompt allowed aggregation across contracts.
----------
Prompt does not restrict answer to specific referenced file</t>
  </si>
  <si>
    <t>Ground truth:
Only from 47.2.1.1.1 Commercial Term Sheet Shell → PEC entity only
Extracted:
Added PSTO
Added duplicate PEC
Mixed multiple contracts</t>
  </si>
  <si>
    <t>per feedstock contract
 per feedstock</t>
  </si>
  <si>
    <t>File - 47.2.1.1.1 Commercial Term Sheet Shell - Feedstock.docx, pg 2
 Answer: condensate +/- 10% 
 naphtha +/- 10% 
 equinor:</t>
  </si>
  <si>
    <t>PARTIAL</t>
  </si>
  <si>
    <t>MULTI_VALUE_COLLAPSE</t>
  </si>
  <si>
    <t>Correct % value (10%)
But collapsed to single scalar
Did not explicitly output per-feedstock structure
Introduced Equinor operational tolerance (not required)
---
Multi-value collapsed into scalar
Lost feedstock dimension
Slight scope drift by referencing Equinor tolerance
---
Prompt allows scalar summarization instead of enforcing per-feedstock output</t>
  </si>
  <si>
    <t>Ground Truth (PEC)
From:
47.2.1.1.1 Commercial Term Sheet Shell - Feedstock.docx, pg 2
Condensate → ±10%
Naphtha → ±10%
Equinor → (blank / no answer)
So PEC expects feedstock-level breakdown
---
Correct % but structural loss of dimension
Extracted - ±10%
With commentary explaining:
Shell Condensate ±10%
Shell Naphtha ±10%
Equinor ±5% operational tolerance (but not annual quantity)</t>
  </si>
  <si>
    <t>File - 47.2.1.1.1 Commercial Term Sheet Shell - Feedstock.docx, pg 4
 Answer: Condensate, +/- 5% 
 naphtha +/- 10% 
 equinor</t>
  </si>
  <si>
    <t>PARTIAL (core values correct)</t>
  </si>
  <si>
    <t>OVER</t>
  </si>
  <si>
    <t>SCOPE_EXPANSION</t>
  </si>
  <si>
    <t>Dimensional over-expansion
Over-detailed output
Count inflation
----
Model expanded answer across delivery channel dimension</t>
  </si>
  <si>
    <t>From:
47.2.1.1.1 Commercial Term Sheet Shell - Feedstock.docx, pg 4
Condensate → ±5%
Naphtha → ±10%
Equinor → blank
No delivery channel breakdown required
Extracted:
Condensate FIP ±5%
Condensate DAP ±5%
Naphtha FIP ±10%
Naphtha DAP ±10%
---
Correct numbers but wrong dimensional granularity</t>
  </si>
  <si>
    <t>EXACT</t>
  </si>
  <si>
    <t>FULL</t>
  </si>
  <si>
    <t>Ground Truth (PEC)
Shell – no answer.
---
Extracted
NOT_FOUND</t>
  </si>
  <si>
    <t>per feedstock contract 
 per feedstock</t>
  </si>
  <si>
    <t>File - 47.2.1.1.1 Commercial Term Sheet Shell - Feedstock.docx, pg 8
 'Price Formula = A + B + C', where A = benchmark, B = Premium/discount
 C = "others'</t>
  </si>
  <si>
    <r>
      <rPr>
        <sz val="10"/>
        <color theme="1"/>
        <rFont val="Inter"/>
      </rPr>
      <t xml:space="preserve">Ground Truth (PEC)
From:
47.2.1.1.1 Commercial Term Sheet Shell - Feedstock.docx, pg 8
Expected:
Price Formula = A + B + C
---
Extracted: 
Correct A+B+C
Detailed explanation
Additional Equinor references
</t>
    </r>
    <r>
      <rPr>
        <b/>
        <sz val="10"/>
        <color theme="1"/>
        <rFont val="Inter"/>
      </rPr>
      <t>Extra detail</t>
    </r>
  </si>
  <si>
    <t>File - 47.2.1.1.1 Commercial Term Sheet Shell - Feedstock.docx, pg 8
 'Price Formula = A + B + C', where A = benchmark, B = Premium/discount
 C = "others', and for this answer we want the details of A,B,C, which are (see pg 8 of contract for long details)
 Equinor: 
 47.2.2.1.1 Equinor - Feedstock Sale and Product Purchase Agreement (EXECUTE.pdf
 document page 55. 
 Answer: Feedstock market price: Secured Grade Quantities
 P = (PM+AD)L, where P = price per barrel of feedstock in US$, 
 PM = pricing marker
 AD = applicable differential 
 L = loss factor.</t>
  </si>
  <si>
    <t>YES (Shell only)</t>
  </si>
  <si>
    <r>
      <rPr>
        <b/>
        <sz val="10"/>
        <color theme="1"/>
        <rFont val="Inter"/>
      </rPr>
      <t>Manual Assessment</t>
    </r>
    <r>
      <rPr>
        <sz val="10"/>
        <color theme="1"/>
        <rFont val="Inter"/>
      </rPr>
      <t xml:space="preserve">
Shell portion fully correct
Equinor formula missing
Incomplete multi-contract coverage
</t>
    </r>
    <r>
      <rPr>
        <b/>
        <sz val="10"/>
        <color theme="1"/>
        <rFont val="Inter"/>
      </rPr>
      <t xml:space="preserve">Issues:
</t>
    </r>
    <r>
      <rPr>
        <sz val="10"/>
        <color theme="1"/>
        <rFont val="Inter"/>
      </rPr>
      <t>Retrieval insufficiency
Missing Equinor pricing formula section
IG - Equinor pricing section not retrieved in top-k chunks</t>
    </r>
  </si>
  <si>
    <t>Ground Truth (PEC):
Expected two components:
Shell: A, B, C detailed
Equinor: P = (PM + AD) L
PM = pricing marker
AD = applicable differential
L = loss factor
----
Extracted:
Shell A, B, C detailed
Equinor formula NOT extracted
Clear missing Equinor pricing formula</t>
  </si>
  <si>
    <t>47.2.1.1.1 Commercial Term Sheet Shell - Feedstock.docx, pg1
 1. Shell - Condensate - 12 years
 2. Shell - Naphtha - 12 Years
 47.2.2.1.1 Equinor - Feedstock Sale and Product Purchase Agreement (EXECUTE.pdf, pg 25, 
 10 years. for condensate and full range naphtha</t>
  </si>
  <si>
    <r>
      <rPr>
        <b/>
        <sz val="10"/>
        <color theme="1"/>
        <rFont val="Inter"/>
      </rPr>
      <t>Manual Assessment</t>
    </r>
    <r>
      <rPr>
        <sz val="10"/>
        <color theme="1"/>
        <rFont val="Inter"/>
      </rPr>
      <t xml:space="preserve">
Fully correct
Correct per-contract breakdown
No over/under extraction
</t>
    </r>
    <r>
      <rPr>
        <b/>
        <sz val="10"/>
        <color theme="1"/>
        <rFont val="Inter"/>
      </rPr>
      <t>Issues</t>
    </r>
    <r>
      <rPr>
        <sz val="10"/>
        <color theme="1"/>
        <rFont val="Inter"/>
      </rPr>
      <t xml:space="preserve">
None.</t>
    </r>
  </si>
  <si>
    <t>Ground Truth (PEC)
Shell:
Condensate → 12 years
Naphtha → 12 years
Equinor:
Condensate → 10 years
Naphtha → 10 years
---
Extracted:
Shell: 12; Equinor: 10
Correct per-contract extraction</t>
  </si>
  <si>
    <r>
      <rPr>
        <b/>
        <sz val="10"/>
        <color theme="1"/>
        <rFont val="Inter"/>
      </rPr>
      <t>Manual Assessment</t>
    </r>
    <r>
      <rPr>
        <sz val="10"/>
        <color theme="1"/>
        <rFont val="Inter"/>
      </rPr>
      <t xml:space="preserve">
Extractor correctly identified no fixed calendar year.
But instead of returning NOT_FOUND, it returned descriptive term logic.
Added Equinor unnecessarily.
Over-expanded scope.
</t>
    </r>
    <r>
      <rPr>
        <b/>
        <sz val="10"/>
        <color theme="1"/>
        <rFont val="Inter"/>
      </rPr>
      <t>Issues</t>
    </r>
    <r>
      <rPr>
        <sz val="10"/>
        <color theme="1"/>
        <rFont val="Inter"/>
      </rPr>
      <t xml:space="preserve">
Did not return NOT_FOUND explicitly.
Scope expansion to Equinor.
Over-descriptive instead of scalar/date.
Prompt encourages descriptive reasoning instead of scalar answer</t>
    </r>
  </si>
  <si>
    <t>Ground Truth (PEC)
Shell – no answer (no fixed calendar end year).
Dimension: per supplier per contract.
So expected:
Shell → NOT_FOUND
PEC does NOT require Equinor here (based on answer provided).
Extracted:
Descriptive term language:
Equinor: 10th anniversary of COD
Shell: 12 years from Start Date
No calendar year given
---
Correct reasoning but wrong output format</t>
  </si>
  <si>
    <t>"47.2.1.1.1 Commercial Term Sheet Shell - Feedstock.docx, pg1
 5 years
 47.2.2.1.1 Equinor - Feedstock Sale and Product Purchase Agreement (EXECUTE.pdf, pg 27, 
 term extension: 2 years</t>
  </si>
  <si>
    <r>
      <rPr>
        <b/>
        <sz val="10"/>
        <color theme="1"/>
        <rFont val="Inter"/>
      </rPr>
      <t>Manual Assessment</t>
    </r>
    <r>
      <rPr>
        <sz val="10"/>
        <color theme="1"/>
        <rFont val="Inter"/>
      </rPr>
      <t xml:space="preserve">
Correct Shell extension.
Missed Equinor 2-year extension.
Partial multi-contract extraction.
</t>
    </r>
    <r>
      <rPr>
        <b/>
        <sz val="10"/>
        <color theme="1"/>
        <rFont val="Inter"/>
      </rPr>
      <t xml:space="preserve">Issues
</t>
    </r>
    <r>
      <rPr>
        <sz val="10"/>
        <color theme="1"/>
        <rFont val="Inter"/>
      </rPr>
      <t>Missing Equinor extension.
Incomplete multi-contract coverage
Equinor Clause 2.4 not retrieved in top-k</t>
    </r>
  </si>
  <si>
    <t>Ground Truth (PEC)
Shell → 5 years
Equinor → 2 years
Extracted Only:
5 (Shell)
Equinor missing.
---
Clear missing Equinor component</t>
  </si>
  <si>
    <r>
      <rPr>
        <b/>
        <sz val="10"/>
        <color theme="1"/>
        <rFont val="Inter"/>
      </rPr>
      <t xml:space="preserve">Manual Assessment
</t>
    </r>
    <r>
      <rPr>
        <sz val="10"/>
        <color theme="1"/>
        <rFont val="Inter"/>
      </rPr>
      <t xml:space="preserve">Correct that no fixed year exists.
Added Equinor unnecessarily.
Over-descriptive.
</t>
    </r>
    <r>
      <rPr>
        <b/>
        <sz val="10"/>
        <color theme="1"/>
        <rFont val="Inter"/>
      </rPr>
      <t xml:space="preserve">Issues
</t>
    </r>
    <r>
      <rPr>
        <sz val="10"/>
        <color theme="1"/>
        <rFont val="Inter"/>
      </rPr>
      <t>Scope expansion
Verbose reasoning instead of NOT_FOUND
---
Model answers descriptively when date not explicit</t>
    </r>
  </si>
  <si>
    <r>
      <rPr>
        <b/>
        <sz val="10"/>
        <color theme="1"/>
        <rFont val="Inter"/>
      </rPr>
      <t xml:space="preserve">Ground Truth (PEC)
</t>
    </r>
    <r>
      <rPr>
        <sz val="10"/>
        <color theme="1"/>
        <rFont val="Inter"/>
      </rPr>
      <t xml:space="preserve">Shell – no answer.
No calendar start year.
</t>
    </r>
    <r>
      <rPr>
        <b/>
        <sz val="10"/>
        <color theme="1"/>
        <rFont val="Inter"/>
      </rPr>
      <t>Extracted</t>
    </r>
    <r>
      <rPr>
        <sz val="10"/>
        <color theme="1"/>
        <rFont val="Inter"/>
      </rPr>
      <t xml:space="preserve">
Descriptive:
Shell start definition
Equinor effective date 2023-03-02 mentioned
No calendar year given
Should return NOT_FOUND explicitly</t>
    </r>
  </si>
  <si>
    <t>1. annually, quarterly, monthly
 2. per feedstock supplier
 3. per feedstock type
 4. per time period</t>
  </si>
  <si>
    <t>47.2.1.1.1 Commercial Term Sheet Shell - Feedstock.docx, pg2
 1. Shell - Annual Contracted Quantity - Condensate - minimum of 30 million barrels
 2. Shell - Annual Contracted Quantity - Naphtha - minimum of 170 KT
 3. Shell - Quarterly - Quarterly Contract Quantity (QCQ):
  Minimum: 95 percent of 25 percent of ACQ - for naphtha &amp; condensate
 4. Shell - Quarterly - Maximum: 105 percent of 25 percent of ACQ -for naphtha &amp; condensate
 47.2.2.1.1 Equinor - Feedstock Sale and Product Purchase Agreement (EXECUTE.pdf, pg 30, pg 31
 5. Equinor - Condensate 75,000 barrels per day multiplied by the number of days relevant in the contract month
 6. Equinor - 935 MT per day multiplied by the number of valid days in the contract month- Full Range Naphtha -</t>
  </si>
  <si>
    <t>ENTITY_CONFUSION</t>
  </si>
  <si>
    <t>Retrieval + Interpretation Layer</t>
  </si>
  <si>
    <r>
      <rPr>
        <b/>
        <sz val="10"/>
        <color theme="1"/>
        <rFont val="Inter"/>
      </rPr>
      <t>Manual Assessment</t>
    </r>
    <r>
      <rPr>
        <sz val="10"/>
        <color theme="1"/>
        <rFont val="Inter"/>
      </rPr>
      <t xml:space="preserve">
Shell fully correct.
Equinor condensate WRONG (150k vs 75k).
Major factual magnitude error.
Confused facility capacity with contracted supply.
</t>
    </r>
    <r>
      <rPr>
        <b/>
        <sz val="10"/>
        <color theme="1"/>
        <rFont val="Inter"/>
      </rPr>
      <t>Issues</t>
    </r>
    <r>
      <rPr>
        <sz val="10"/>
        <color theme="1"/>
        <rFont val="Inter"/>
      </rPr>
      <t xml:space="preserve">
Wrong Equinor condensate value.
Misinterpreted facility capacity as contract quantity.
Model selected facility capacity section instead of contracted quantity clause</t>
    </r>
  </si>
  <si>
    <r>
      <rPr>
        <b/>
        <sz val="10"/>
        <color theme="1"/>
        <rFont val="Inter"/>
      </rPr>
      <t xml:space="preserve">Ground Truth (PEC):
</t>
    </r>
    <r>
      <rPr>
        <sz val="10"/>
        <color theme="1"/>
        <rFont val="Inter"/>
      </rPr>
      <t xml:space="preserve">Shell:
Condensate → 30M barrels annually
Naphtha → 170 KT annually
QCQ min/max rules
Equinor:
Condensate → 75,000 barrels/day
FRN → 935 MT/day
</t>
    </r>
    <r>
      <rPr>
        <b/>
        <sz val="10"/>
        <color theme="1"/>
        <rFont val="Inter"/>
      </rPr>
      <t xml:space="preserve">Extracted
</t>
    </r>
    <r>
      <rPr>
        <sz val="10"/>
        <color theme="1"/>
        <rFont val="Inter"/>
      </rPr>
      <t>Shell values correct.
Equinor:
Condensate → 150,000 barrels/day (wrong — this is facility capacity)
FRN → 935 MT/day (correct)
Significant factual error</t>
    </r>
  </si>
  <si>
    <t>1. per feedstock supplier
 2. per feedstock type</t>
  </si>
  <si>
    <t>1. Shell - 47.2.1.1.1 Commercial Term Sheet Shell - Feedstock.docx - pg2 
 condensate units: barrels
 naphtha - KT
 2. Equinor - 47.2.2.1.1 Equinor - Feedstock Sale and Product Purchase Agreement (EXECUTE.pdf- pg 30 -
 Condensate - barrel
 Naphtha - MT 
 - this is all overa the agreement</t>
  </si>
  <si>
    <r>
      <rPr>
        <b/>
        <sz val="10"/>
        <color theme="1"/>
        <rFont val="Inter"/>
      </rPr>
      <t>Manual Assessment</t>
    </r>
    <r>
      <rPr>
        <sz val="10"/>
        <color theme="1"/>
        <rFont val="Inter"/>
      </rPr>
      <t xml:space="preserve">
Core units correct.
Added time basis not explicitly required.
Slight over-specification.
</t>
    </r>
    <r>
      <rPr>
        <b/>
        <sz val="10"/>
        <color theme="1"/>
        <rFont val="Inter"/>
      </rPr>
      <t xml:space="preserve">Issues
</t>
    </r>
    <r>
      <rPr>
        <sz val="10"/>
        <color theme="1"/>
        <rFont val="Inter"/>
      </rPr>
      <t>Over-specificity.
Minor scope expansion
Model included temporal qualifier from context</t>
    </r>
  </si>
  <si>
    <r>
      <rPr>
        <b/>
        <sz val="10"/>
        <color theme="1"/>
        <rFont val="Inter"/>
      </rPr>
      <t>Ground Truth</t>
    </r>
    <r>
      <rPr>
        <sz val="10"/>
        <color theme="1"/>
        <rFont val="Inter"/>
      </rPr>
      <t xml:space="preserve">
Shell:
Condensate → barrels
Naphtha → KT
Equinor:
Condensate → barrel
Naphtha → MT
</t>
    </r>
    <r>
      <rPr>
        <b/>
        <sz val="10"/>
        <color theme="1"/>
        <rFont val="Inter"/>
      </rPr>
      <t>Extracted</t>
    </r>
    <r>
      <rPr>
        <sz val="10"/>
        <color theme="1"/>
        <rFont val="Inter"/>
      </rPr>
      <t xml:space="preserve">
Correct units but added:
"per day" qualifiers for Equinor</t>
    </r>
  </si>
  <si>
    <t>1. per feedstock type
 2. per feedstock contract</t>
  </si>
  <si>
    <t>Shell - 47.2.1.1.1 Commercial Term Sheet Shell - Feedstock.docx - pg2 
 Ans: FIP (Free into pipeline) OR DAP (delivery at place) by vessel
 Equinor - not found in contract</t>
  </si>
  <si>
    <r>
      <rPr>
        <b/>
        <sz val="10"/>
        <color theme="1"/>
        <rFont val="Inter"/>
      </rPr>
      <t>Manual Assessment</t>
    </r>
    <r>
      <rPr>
        <sz val="10"/>
        <color theme="1"/>
        <rFont val="Inter"/>
      </rPr>
      <t xml:space="preserve">
Correct.
</t>
    </r>
  </si>
  <si>
    <r>
      <rPr>
        <b/>
        <sz val="10"/>
        <color theme="1"/>
        <rFont val="Inter"/>
      </rPr>
      <t xml:space="preserve">Ground Truth
</t>
    </r>
    <r>
      <rPr>
        <sz val="10"/>
        <color theme="1"/>
        <rFont val="Inter"/>
      </rPr>
      <t xml:space="preserve">Shell:
FIP
DAP
Equinor:
Not found
</t>
    </r>
    <r>
      <rPr>
        <b/>
        <sz val="10"/>
        <color theme="1"/>
        <rFont val="Inter"/>
      </rPr>
      <t>Extracted</t>
    </r>
    <r>
      <rPr>
        <sz val="10"/>
        <color theme="1"/>
        <rFont val="Inter"/>
      </rPr>
      <t xml:space="preserve">
FIP
DAP
Detailed definitions</t>
    </r>
  </si>
  <si>
    <t>Shell - 47.2.1.1.1 Commercial Term Sheet Shell - Feedstock.docx - pg5
 Answer: month</t>
  </si>
  <si>
    <r>
      <rPr>
        <b/>
        <sz val="10"/>
        <color theme="1"/>
        <rFont val="Inter"/>
      </rPr>
      <t xml:space="preserve">Ground Truth
</t>
    </r>
    <r>
      <rPr>
        <sz val="10"/>
        <color theme="1"/>
        <rFont val="Inter"/>
      </rPr>
      <t xml:space="preserve">Shell:
month
</t>
    </r>
    <r>
      <rPr>
        <b/>
        <sz val="10"/>
        <color theme="1"/>
        <rFont val="Inter"/>
      </rPr>
      <t>Extracted</t>
    </r>
    <r>
      <rPr>
        <sz val="10"/>
        <color theme="1"/>
        <rFont val="Inter"/>
      </rPr>
      <t xml:space="preserve">
Monthly (with detailed scheduling explanation)</t>
    </r>
  </si>
  <si>
    <t>Engineering Documents - 47.2.2.2.1 Equinor - Feedstock Sale and Product Purchase Agreemen.pdf
 pg 47, feeds table from 3.0 determines the quality required</t>
  </si>
  <si>
    <t>YES (but wrong source)</t>
  </si>
  <si>
    <t>WRONG_DOCUMENT_SELECTION</t>
  </si>
  <si>
    <r>
      <rPr>
        <b/>
        <sz val="10"/>
        <color theme="1"/>
        <rFont val="Inter"/>
      </rPr>
      <t>Manual Assessment</t>
    </r>
    <r>
      <rPr>
        <sz val="10"/>
        <color theme="1"/>
        <rFont val="Inter"/>
      </rPr>
      <t xml:space="preserve">
Extraction contains quality specs.
However, wrong source document used (Shell instead of Equinor).
Missing Equinor feed table specifications.
Partial but misaligned to PEC reference.
</t>
    </r>
    <r>
      <rPr>
        <b/>
        <sz val="10"/>
        <color theme="1"/>
        <rFont val="Inter"/>
      </rPr>
      <t>Issues</t>
    </r>
    <r>
      <rPr>
        <sz val="10"/>
        <color theme="1"/>
        <rFont val="Inter"/>
      </rPr>
      <t xml:space="preserve">
Wrong document selected.
Incomplete multi-spec extraction.
Retrieval filtering weakness.
Retrieval prioritized Shell term sheet over Equinor engineering document.</t>
    </r>
  </si>
  <si>
    <r>
      <rPr>
        <b/>
        <sz val="10"/>
        <color theme="1"/>
        <rFont val="Inter"/>
      </rPr>
      <t xml:space="preserve">Ground Truth
</t>
    </r>
    <r>
      <rPr>
        <sz val="10"/>
        <color theme="1"/>
        <rFont val="Inter"/>
      </rPr>
      <t xml:space="preserve">
From:
Engineering Documents – 47.2.2.2.1 Equinor Feedstock Sale and Product Purchase Agreement
Page 47 – Feed table from section 3.0 determines required quality.
Expected:
Quality specifications per feedstock type from Equinor agreement (likely multiple parameters).
</t>
    </r>
    <r>
      <rPr>
        <b/>
        <sz val="10"/>
        <color theme="1"/>
        <rFont val="Inter"/>
      </rPr>
      <t>Extracted</t>
    </r>
    <r>
      <rPr>
        <sz val="10"/>
        <color theme="1"/>
        <rFont val="Inter"/>
      </rPr>
      <t xml:space="preserve">
From Shell Binding Term Sheet:
Condensate → “normal export quality as per produced”
Full Range Naphtha → N+2A Min 35.0%, 50% Distillation Min 85°C
</t>
    </r>
    <r>
      <rPr>
        <b/>
        <sz val="10"/>
        <color theme="1"/>
        <rFont val="Inter"/>
      </rPr>
      <t>Quality specs extracted but from incorrect contract source</t>
    </r>
  </si>
  <si>
    <t>To be inferred from documents.
 1. Shell International Eastern Trading Company, pg 1 of 1. Shell - 47.2.1.1.1 Commercial Term Sheet Shell - Feedstock.docx
 2. Equinor, ASA - pg 1 of 47.2.2.1.1 Equinor - Feedstock Sale and Product Purchase Agreement (EXECUTE.pdf</t>
  </si>
  <si>
    <r>
      <rPr>
        <b/>
        <sz val="10"/>
        <color theme="1"/>
        <rFont val="Inter"/>
      </rPr>
      <t xml:space="preserve">Manual Assessment
</t>
    </r>
    <r>
      <rPr>
        <sz val="10"/>
        <color theme="1"/>
        <rFont val="Inter"/>
      </rPr>
      <t>Both feedstock sellers correctly identified.
Correct documents retrieved.
No over-expansion.
Fully aligned with PEC.
N/A</t>
    </r>
  </si>
  <si>
    <r>
      <rPr>
        <b/>
        <sz val="10"/>
        <color theme="1"/>
        <rFont val="Inter"/>
      </rPr>
      <t>Ground Truth (PEC)</t>
    </r>
    <r>
      <rPr>
        <sz val="10"/>
        <color theme="1"/>
        <rFont val="Inter"/>
      </rPr>
      <t xml:space="preserve">
Shell International Eastern Trading Company
Equinor ASA
</t>
    </r>
    <r>
      <rPr>
        <b/>
        <sz val="10"/>
        <color theme="1"/>
        <rFont val="Inter"/>
      </rPr>
      <t>Extracted</t>
    </r>
    <r>
      <rPr>
        <sz val="10"/>
        <color theme="1"/>
        <rFont val="Inter"/>
      </rPr>
      <t xml:space="preserve">
Shell International Eastern Trading Company (SIETCO)
Equinor ASA</t>
    </r>
  </si>
  <si>
    <t>Condensate - 820,000 M^3
 naphtha - 45,714 m^3</t>
  </si>
  <si>
    <t>YES (Naphtha only)</t>
  </si>
  <si>
    <r>
      <rPr>
        <b/>
        <sz val="10"/>
        <color theme="1"/>
        <rFont val="Inter"/>
      </rPr>
      <t>Manual Assessment</t>
    </r>
    <r>
      <rPr>
        <sz val="10"/>
        <color theme="1"/>
        <rFont val="Inter"/>
      </rPr>
      <t xml:space="preserve">
Naphtha value correct.
Condensate storage capacity not extracted.
Partial retrieval.
</t>
    </r>
    <r>
      <rPr>
        <b/>
        <sz val="10"/>
        <color theme="1"/>
        <rFont val="Inter"/>
      </rPr>
      <t>Issues</t>
    </r>
    <r>
      <rPr>
        <sz val="10"/>
        <color theme="1"/>
        <rFont val="Inter"/>
      </rPr>
      <t xml:space="preserve">
Missing condensate storage capacity.
Incomplete multi-feedstock coverage.
Condensate storage clause not retrieved in top-k chunks</t>
    </r>
  </si>
  <si>
    <r>
      <rPr>
        <b/>
        <sz val="10"/>
        <color theme="1"/>
        <rFont val="Inter"/>
      </rPr>
      <t xml:space="preserve">Ground Truth (PEC)
</t>
    </r>
    <r>
      <rPr>
        <sz val="10"/>
        <color theme="1"/>
        <rFont val="Inter"/>
      </rPr>
      <t xml:space="preserve">Condensate → 820,000 m³
Naphtha → 45,714 m³
</t>
    </r>
    <r>
      <rPr>
        <b/>
        <sz val="10"/>
        <color theme="1"/>
        <rFont val="Inter"/>
      </rPr>
      <t xml:space="preserve">Extracted
</t>
    </r>
    <r>
      <rPr>
        <sz val="10"/>
        <color theme="1"/>
        <rFont val="Inter"/>
      </rPr>
      <t>Naphtha → 45,714 cbm
Condensate missing.
One of two feedstock capacities missing</t>
    </r>
  </si>
  <si>
    <t>1. Shell - 47.2.1.1.1 Commercial Term Sheet Shell - Feedstock.docx - pg 2
 Answer:
 same as minimum feedstock quantity. 27million barrels per year of condensate, and 
 10% on top of 170KT of naphtha which is 153KT per year.</t>
  </si>
  <si>
    <t>NONE</t>
  </si>
  <si>
    <t>YES (Clause exists in document)</t>
  </si>
  <si>
    <r>
      <rPr>
        <b/>
        <sz val="10"/>
        <color theme="1"/>
        <rFont val="Inter"/>
      </rPr>
      <t>Manual Assessment</t>
    </r>
    <r>
      <rPr>
        <sz val="10"/>
        <color theme="1"/>
        <rFont val="Inter"/>
      </rPr>
      <t xml:space="preserve">
Minimum quantities clearly present in Shell term sheet.
Extraction returned NOT_FOUND.
Direct clause missed.
This is not entity confusion.
This is a recall failure.
</t>
    </r>
    <r>
      <rPr>
        <b/>
        <sz val="10"/>
        <color theme="1"/>
        <rFont val="Inter"/>
      </rPr>
      <t>Issues</t>
    </r>
    <r>
      <rPr>
        <sz val="10"/>
        <color theme="1"/>
        <rFont val="Inter"/>
      </rPr>
      <t xml:space="preserve">
Explicit numeric clause not extracted.
Failure to detect minimum quantity section.
Relevant minimum quantity section not ranked in top-k</t>
    </r>
  </si>
  <si>
    <r>
      <rPr>
        <b/>
        <sz val="10"/>
        <color theme="1"/>
        <rFont val="Inter"/>
      </rPr>
      <t xml:space="preserve">Ground Truth (PEC)
</t>
    </r>
    <r>
      <rPr>
        <sz val="10"/>
        <color theme="1"/>
        <rFont val="Inter"/>
      </rPr>
      <t xml:space="preserve">Shell:
Condensate → 27 million barrels per year
Naphtha → 153 KT per year
</t>
    </r>
    <r>
      <rPr>
        <b/>
        <sz val="10"/>
        <color theme="1"/>
        <rFont val="Inter"/>
      </rPr>
      <t>Extracted</t>
    </r>
    <r>
      <rPr>
        <sz val="10"/>
        <color theme="1"/>
        <rFont val="Inter"/>
      </rPr>
      <t xml:space="preserve">
NOT_FOUND
High-risk miss of contractual obligation values</t>
    </r>
  </si>
  <si>
    <t>NO_REFERENCE_BASELINE</t>
  </si>
  <si>
    <r>
      <rPr>
        <b/>
        <sz val="10"/>
        <color theme="1"/>
        <rFont val="Inter"/>
      </rPr>
      <t>Manual Assessment</t>
    </r>
    <r>
      <rPr>
        <sz val="10"/>
        <color theme="1"/>
        <rFont val="Inter"/>
      </rPr>
      <t xml:space="preserve">
Multiple insurance coverage values extracted.
However:
No PEC baseline available.
Cannot validate correctness.
Extraction structurally reasonable.
</t>
    </r>
    <r>
      <rPr>
        <b/>
        <sz val="10"/>
        <color theme="1"/>
        <rFont val="Inter"/>
      </rPr>
      <t>Issues</t>
    </r>
    <r>
      <rPr>
        <sz val="10"/>
        <color theme="1"/>
        <rFont val="Inter"/>
      </rPr>
      <t xml:space="preserve">
No ground truth reference.
Over relative to blank PEC.
Not comparable.
</t>
    </r>
    <r>
      <rPr>
        <b/>
        <sz val="10"/>
        <color theme="1"/>
        <rFont val="Inter"/>
      </rPr>
      <t>No PEC reference provided for validation</t>
    </r>
  </si>
  <si>
    <r>
      <rPr>
        <b/>
        <sz val="10"/>
        <color theme="1"/>
        <rFont val="Inter"/>
      </rPr>
      <t>Ground Truth (PEC)</t>
    </r>
    <r>
      <rPr>
        <sz val="10"/>
        <color theme="1"/>
        <rFont val="Inter"/>
      </rPr>
      <t xml:space="preserve">
Document not provided.
No reference baseline.
</t>
    </r>
    <r>
      <rPr>
        <b/>
        <sz val="10"/>
        <color theme="1"/>
        <rFont val="Inter"/>
      </rPr>
      <t>Extracted</t>
    </r>
    <r>
      <rPr>
        <sz val="10"/>
        <color theme="1"/>
        <rFont val="Inter"/>
      </rPr>
      <t xml:space="preserve">
2450000000
900000000
300000000
250000000
100000000
50000000
100000000
</t>
    </r>
    <r>
      <rPr>
        <b/>
        <sz val="10"/>
        <color theme="1"/>
        <rFont val="Inter"/>
      </rPr>
      <t>Cannot assess correctness due to missing baseline</t>
    </r>
  </si>
  <si>
    <r>
      <rPr>
        <b/>
        <sz val="10"/>
        <color theme="1"/>
        <rFont val="Inter"/>
      </rPr>
      <t>Manual Assessment</t>
    </r>
    <r>
      <rPr>
        <sz val="10"/>
        <color theme="1"/>
        <rFont val="Inter"/>
      </rPr>
      <t xml:space="preserve">
Offtake agreements retrieved correctly.
Products partially inferred.
</t>
    </r>
    <r>
      <rPr>
        <b/>
        <sz val="10"/>
        <color theme="1"/>
        <rFont val="Inter"/>
      </rPr>
      <t>Issues</t>
    </r>
    <r>
      <rPr>
        <sz val="10"/>
        <color theme="1"/>
        <rFont val="Inter"/>
      </rPr>
      <t xml:space="preserve">
No reference baseline.</t>
    </r>
  </si>
  <si>
    <r>
      <rPr>
        <b/>
        <sz val="10"/>
        <color theme="1"/>
        <rFont val="Inter"/>
      </rPr>
      <t>Ground Truth (PEC)</t>
    </r>
    <r>
      <rPr>
        <sz val="10"/>
        <color theme="1"/>
        <rFont val="Inter"/>
      </rPr>
      <t xml:space="preserve">
No PEC answer provided.
</t>
    </r>
    <r>
      <rPr>
        <b/>
        <sz val="10"/>
        <color theme="1"/>
        <rFont val="Inter"/>
      </rPr>
      <t>Extracted</t>
    </r>
    <r>
      <rPr>
        <sz val="10"/>
        <color theme="1"/>
        <rFont val="Inter"/>
      </rPr>
      <t xml:space="preserve">
Product (unspecified from condensate splitter/aromatics complex)
Hydrogen</t>
    </r>
  </si>
  <si>
    <t>engineering document: 
 C3 LPG, 
 C4 LPG, 
 Light Naphtha,
 Benzene, 
 para-xylene, 
 kerosene, 
 diesel,
 fuel oil,
 hydrogen rich gas,
 fuel gas,
 Sulfur</t>
  </si>
  <si>
    <t>YES (Engineering doc contains list)</t>
  </si>
  <si>
    <r>
      <rPr>
        <b/>
        <sz val="10"/>
        <color theme="1"/>
        <rFont val="Inter"/>
      </rPr>
      <t>Manual Assessment</t>
    </r>
    <r>
      <rPr>
        <sz val="10"/>
        <color theme="1"/>
        <rFont val="Inter"/>
      </rPr>
      <t xml:space="preserve">
Products clearly listed in engineering documentation.
Extractor returned NOT_FOUND.
This is a complete recall failure.
</t>
    </r>
    <r>
      <rPr>
        <b/>
        <sz val="10"/>
        <color theme="1"/>
        <rFont val="Inter"/>
      </rPr>
      <t>Issues</t>
    </r>
    <r>
      <rPr>
        <sz val="10"/>
        <color theme="1"/>
        <rFont val="Inter"/>
      </rPr>
      <t xml:space="preserve">
Full extraction failure.
Engineering document content not retrieved.
Engineering agreement section not retrieved in top-k</t>
    </r>
  </si>
  <si>
    <r>
      <rPr>
        <b/>
        <sz val="10"/>
        <color theme="1"/>
        <rFont val="Inter"/>
      </rPr>
      <t xml:space="preserve">Ground Truth (PEC)
</t>
    </r>
    <r>
      <rPr>
        <sz val="10"/>
        <color theme="1"/>
        <rFont val="Inter"/>
      </rPr>
      <t xml:space="preserve">
From Engineering Document:
C3 LPG
C4 LPG
Light Naphtha
Benzene
Para-xylene
Kerosene
Diesel
Fuel oil
Hydrogen rich gas
Fuel gas
Sulfur
</t>
    </r>
    <r>
      <rPr>
        <b/>
        <sz val="10"/>
        <color theme="1"/>
        <rFont val="Inter"/>
      </rPr>
      <t xml:space="preserve">Extracted
</t>
    </r>
    <r>
      <rPr>
        <sz val="10"/>
        <color theme="1"/>
        <rFont val="Inter"/>
      </rPr>
      <t>NOT_FOUND
Complete miss of core plant product list</t>
    </r>
  </si>
  <si>
    <t>YES (Pitch deck contains value)</t>
  </si>
  <si>
    <r>
      <rPr>
        <b/>
        <sz val="10"/>
        <color theme="1"/>
        <rFont val="Inter"/>
      </rPr>
      <t>Manual Assessment</t>
    </r>
    <r>
      <rPr>
        <sz val="10"/>
        <color theme="1"/>
        <rFont val="Inter"/>
      </rPr>
      <t xml:space="preserve">
Loan tenor explicitly stated in pitch book.
Extractor failed to capture value.
Direct numeric miss.
</t>
    </r>
    <r>
      <rPr>
        <b/>
        <sz val="10"/>
        <color theme="1"/>
        <rFont val="Inter"/>
      </rPr>
      <t>Issues</t>
    </r>
    <r>
      <rPr>
        <sz val="10"/>
        <color theme="1"/>
        <rFont val="Inter"/>
      </rPr>
      <t xml:space="preserve">
Missed clearly stated loan tenor.
Pitch deck not fully searched or section not retrieved.
Loan tenor slide not ranked in top-k</t>
    </r>
  </si>
  <si>
    <r>
      <rPr>
        <b/>
        <sz val="10"/>
        <color theme="1"/>
        <rFont val="Inter"/>
      </rPr>
      <t>Ground Truth (PEC)</t>
    </r>
    <r>
      <rPr>
        <sz val="10"/>
        <color theme="1"/>
        <rFont val="Inter"/>
      </rPr>
      <t xml:space="preserve">
10 years (including construction)
</t>
    </r>
    <r>
      <rPr>
        <b/>
        <sz val="10"/>
        <color theme="1"/>
        <rFont val="Inter"/>
      </rPr>
      <t>Extracted</t>
    </r>
    <r>
      <rPr>
        <sz val="10"/>
        <color theme="1"/>
        <rFont val="Inter"/>
      </rPr>
      <t xml:space="preserve">
NOT_FOUND
Financial structuring datapoint missed</t>
    </r>
  </si>
  <si>
    <t>SEMANTIC_SCOPE_MISMATCH</t>
  </si>
  <si>
    <t>Extraction Interpretation Layer</t>
  </si>
  <si>
    <r>
      <rPr>
        <b/>
        <sz val="10"/>
        <color theme="1"/>
        <rFont val="Inter"/>
      </rPr>
      <t>Manual Assessment</t>
    </r>
    <r>
      <rPr>
        <sz val="10"/>
        <color theme="1"/>
        <rFont val="Inter"/>
      </rPr>
      <t xml:space="preserve">
Extractor returned terminal names.
Ground truth expects geographic location.
Facility names are correct but not answering the question directly.
Semantic mismatch.
</t>
    </r>
    <r>
      <rPr>
        <b/>
        <sz val="10"/>
        <color theme="1"/>
        <rFont val="Inter"/>
      </rPr>
      <t>Issues</t>
    </r>
    <r>
      <rPr>
        <sz val="10"/>
        <color theme="1"/>
        <rFont val="Inter"/>
      </rPr>
      <t xml:space="preserve">
Returned facility names instead of geographic location.
Answered “where facility” instead of “where geographically”.
Model interpreted terminal identity instead of geographic location</t>
    </r>
  </si>
  <si>
    <r>
      <rPr>
        <b/>
        <sz val="10"/>
        <color theme="1"/>
        <rFont val="Inter"/>
      </rPr>
      <t>Ground Truth (PEC)</t>
    </r>
    <r>
      <rPr>
        <sz val="10"/>
        <color theme="1"/>
        <rFont val="Inter"/>
      </rPr>
      <t xml:space="preserve">
Pengerang, Johor
</t>
    </r>
    <r>
      <rPr>
        <b/>
        <sz val="10"/>
        <color theme="1"/>
        <rFont val="Inter"/>
      </rPr>
      <t>Extracted</t>
    </r>
    <r>
      <rPr>
        <sz val="10"/>
        <color theme="1"/>
        <rFont val="Inter"/>
      </rPr>
      <t xml:space="preserve">
PITSB
Dialog PDT Phase 3
Needs clearer geographic constraint in prompt</t>
    </r>
  </si>
  <si>
    <t>47.11.5.1 EPCC Contract - (W&amp;C Draft_ 18 Nov 2025).docx
 pg 80
 (a) If, by the date which is six (6) months after the Date of Mechanical Completion (the “Performance Testing Delay Longstop Date”):</t>
  </si>
  <si>
    <t>CLAUSE_MISINTERPRETATION</t>
  </si>
  <si>
    <r>
      <rPr>
        <b/>
        <sz val="10"/>
        <color theme="1"/>
        <rFont val="Inter"/>
      </rPr>
      <t>Manual Assessment</t>
    </r>
    <r>
      <rPr>
        <sz val="10"/>
        <color theme="1"/>
        <rFont val="Inter"/>
      </rPr>
      <t xml:space="preserve">
Ground truth explicitly says six (6) months.
Extractor returned 18 months.
This is factual misreading.
Likely confusion between different delay clauses
</t>
    </r>
    <r>
      <rPr>
        <b/>
        <sz val="10"/>
        <color theme="1"/>
        <rFont val="Inter"/>
      </rPr>
      <t>Issues</t>
    </r>
    <r>
      <rPr>
        <sz val="10"/>
        <color theme="1"/>
        <rFont val="Inter"/>
      </rPr>
      <t xml:space="preserve">
Wrong duration selected.
Clause confusion within EPCC contract.
Model selected different delay clause (18 months) instead of Performance Testing Longstop (6 months)</t>
    </r>
  </si>
  <si>
    <r>
      <rPr>
        <b/>
        <sz val="10"/>
        <color theme="1"/>
        <rFont val="Inter"/>
      </rPr>
      <t xml:space="preserve">Ground Truth (PEC)
</t>
    </r>
    <r>
      <rPr>
        <sz val="10"/>
        <color theme="1"/>
        <rFont val="Inter"/>
      </rPr>
      <t xml:space="preserve">
6 months
(after Date of Mechanical Completion)
</t>
    </r>
    <r>
      <rPr>
        <b/>
        <sz val="10"/>
        <color theme="1"/>
        <rFont val="Inter"/>
      </rPr>
      <t>Extracted</t>
    </r>
    <r>
      <rPr>
        <sz val="10"/>
        <color theme="1"/>
        <rFont val="Inter"/>
      </rPr>
      <t xml:space="preserve">
18
Critical contractual timeline error</t>
    </r>
  </si>
  <si>
    <t>per supplier 
 per year
 per feedstock</t>
  </si>
  <si>
    <t>1. Shell - 47.2.1.1.1 Commercial Term Sheet Shell - Feedstock.docx - pg 2
 Answer: 33million barrels per year of condensate, and 
 10% on top of 170KT of naphtha which is 187KT per year.
 Equinor - can't find</t>
  </si>
  <si>
    <r>
      <rPr>
        <b/>
        <sz val="10"/>
        <color theme="1"/>
        <rFont val="Inter"/>
      </rPr>
      <t>Manual Assessment</t>
    </r>
    <r>
      <rPr>
        <sz val="10"/>
        <color theme="1"/>
        <rFont val="Inter"/>
      </rPr>
      <t xml:space="preserve">
Values numerically correct.
However:
Expected multi-dimensional structure (per supplier / per feedstock).
Extractor collapsed structure.
Still factually correct for Shell.
</t>
    </r>
    <r>
      <rPr>
        <b/>
        <sz val="10"/>
        <color theme="1"/>
        <rFont val="Inter"/>
      </rPr>
      <t>Issues</t>
    </r>
    <r>
      <rPr>
        <sz val="10"/>
        <color theme="1"/>
        <rFont val="Inter"/>
      </rPr>
      <t xml:space="preserve">
Structural simplification.
Did not explicitly represent supplier breakdown.</t>
    </r>
  </si>
  <si>
    <r>
      <rPr>
        <b/>
        <sz val="10"/>
        <color theme="1"/>
        <rFont val="Inter"/>
      </rPr>
      <t>Ground Truth (PEC)</t>
    </r>
    <r>
      <rPr>
        <sz val="10"/>
        <color theme="1"/>
        <rFont val="Inter"/>
      </rPr>
      <t xml:space="preserve">
Condensate → 33 million barrels per year
Naphtha → 187 KT per year
Equinor → not found
</t>
    </r>
    <r>
      <rPr>
        <b/>
        <sz val="10"/>
        <color theme="1"/>
        <rFont val="Inter"/>
      </rPr>
      <t>Extracted</t>
    </r>
    <r>
      <rPr>
        <sz val="10"/>
        <color theme="1"/>
        <rFont val="Inter"/>
      </rPr>
      <t xml:space="preserve">
Condensate: 33,000,000 barrels
Full Range Naphtha: 187 KT</t>
    </r>
  </si>
  <si>
    <t>EPCC Contract, 47.3.1.1.1.1 EPCC Contract - CNCEC+PEC.docx, pg97 of document, 
 Ans: for IA Delay Liquidated Damages, shall be ten percent (10%) of the Contract Price; and</t>
  </si>
  <si>
    <r>
      <rPr>
        <b/>
        <sz val="10"/>
        <color theme="1"/>
        <rFont val="Inter"/>
      </rPr>
      <t>Manual Assessment</t>
    </r>
    <r>
      <rPr>
        <sz val="10"/>
        <color theme="1"/>
        <rFont val="Inter"/>
      </rPr>
      <t xml:space="preserve">
0.1 = 10%.
Numerically equivalent.
Formatting difference only.</t>
    </r>
  </si>
  <si>
    <r>
      <rPr>
        <b/>
        <sz val="10"/>
        <color theme="1"/>
        <rFont val="Inter"/>
      </rPr>
      <t>Ground Truth (PEC)</t>
    </r>
    <r>
      <rPr>
        <sz val="10"/>
        <color theme="1"/>
        <rFont val="Inter"/>
      </rPr>
      <t xml:space="preserve">
10% of Contract Price
</t>
    </r>
    <r>
      <rPr>
        <b/>
        <sz val="10"/>
        <color theme="1"/>
        <rFont val="Inter"/>
      </rPr>
      <t>Extracted</t>
    </r>
    <r>
      <rPr>
        <sz val="10"/>
        <color theme="1"/>
        <rFont val="Inter"/>
      </rPr>
      <t xml:space="preserve">
0.1
Decimal vs percentage representation</t>
    </r>
  </si>
  <si>
    <t>1. per feedstock contract
 2. per channel
 3. per feedstock</t>
  </si>
  <si>
    <t>1. Shell - 47.2.1.1.1 Commercial Term Sheet Shell - Feedstock.docx - pg 4
 Each feedstock cargo will be supplied by the Seller as per below parcel size and grades:
 FIP channel (risk and title as feedstock passes the battery limit of the Feedstock Storage Facilities)
 • Condensate:
 o 100,000 to 600,000 barrels ±5% at Seller’s option
 • Full Range Naphtha:
 o 10,000MT to 25,000MT ±10% at Seller’s option
 • Any deviation to a parcel size shall be mutually agreed between the Parties
 DAP channel (risk and title to pass at vessel’s flange at discharge port)
 • Condensate:
 o 200,000 to 2,000,000 barrels ±5% at Seller’s option
 • Full Range Naphtha:
 o 25,000MT to 75,000MT ±10% at Seller’s option
 Seller will have the right to co-load any grade that the Seller deems appropriate depending on the Buyer’s demand and subject to mutual agreement.
 Equinor - can't find</t>
  </si>
  <si>
    <r>
      <rPr>
        <b/>
        <sz val="10"/>
        <color theme="1"/>
        <rFont val="Inter"/>
      </rPr>
      <t>Manual Assessment</t>
    </r>
    <r>
      <rPr>
        <sz val="10"/>
        <color theme="1"/>
        <rFont val="Inter"/>
      </rPr>
      <t xml:space="preserve">
Maximum values correctly identified.
However:
Duplicated per contract unnecessarily.
Inflated count.
Did not consolidate.
</t>
    </r>
    <r>
      <rPr>
        <b/>
        <sz val="10"/>
        <color theme="1"/>
        <rFont val="Inter"/>
      </rPr>
      <t>Issues</t>
    </r>
    <r>
      <rPr>
        <sz val="10"/>
        <color theme="1"/>
        <rFont val="Inter"/>
      </rPr>
      <t xml:space="preserve">
Dimensional duplication.
Over-expansion across contracts.
Count inflation.
Prompt allows per-contract duplication instead of consolidation</t>
    </r>
  </si>
  <si>
    <r>
      <rPr>
        <b/>
        <sz val="10"/>
        <color theme="1"/>
        <rFont val="Inter"/>
      </rPr>
      <t>Ground Truth (PEC)</t>
    </r>
    <r>
      <rPr>
        <sz val="10"/>
        <color theme="1"/>
        <rFont val="Inter"/>
      </rPr>
      <t xml:space="preserve">
FIP – Condensate → 600,000 barrels
FIP – Naphtha → 25,000 MT
DAP – Condensate → 2,000,000 barrels
DAP – Naphtha → 75,000 MT
</t>
    </r>
    <r>
      <rPr>
        <b/>
        <sz val="10"/>
        <color theme="1"/>
        <rFont val="Inter"/>
      </rPr>
      <t>Extracted</t>
    </r>
    <r>
      <rPr>
        <sz val="10"/>
        <color theme="1"/>
        <rFont val="Inter"/>
      </rPr>
      <t xml:space="preserve">
Same four maximum values.
But duplicated across two contracts.
Correct values but structural over-expansion</t>
    </r>
  </si>
  <si>
    <t>EPCC Contract, 47.3.1.1.1.1 EPCC Contract - CNCEC+PEC.docx, pg97 of document, 
 (ii) for Performance Liquidated Damages, shall be ten percent (10%) of the Contract Price; and</t>
  </si>
  <si>
    <r>
      <rPr>
        <b/>
        <sz val="10"/>
        <color theme="1"/>
        <rFont val="Inter"/>
      </rPr>
      <t>Manual Assessment</t>
    </r>
    <r>
      <rPr>
        <sz val="10"/>
        <color theme="1"/>
        <rFont val="Inter"/>
      </rPr>
      <t xml:space="preserve">
Core value (10%) is correct.
However:
Datapoint is per project.
Extraction duplicated across two contract versions.
Over-dimensioned response.
Still factually correct.
</t>
    </r>
    <r>
      <rPr>
        <b/>
        <sz val="10"/>
        <color theme="1"/>
        <rFont val="Inter"/>
      </rPr>
      <t>Issues</t>
    </r>
    <r>
      <rPr>
        <sz val="10"/>
        <color theme="1"/>
        <rFont val="Inter"/>
      </rPr>
      <t xml:space="preserve">
Unnecessary contract-level duplication.
Structural over-expansion.
Prompt allows multi-document duplication for single project-level datapoint</t>
    </r>
  </si>
  <si>
    <r>
      <rPr>
        <b/>
        <sz val="10"/>
        <color theme="1"/>
        <rFont val="Inter"/>
      </rPr>
      <t>Ground Truth (PEC)</t>
    </r>
    <r>
      <rPr>
        <sz val="10"/>
        <color theme="1"/>
        <rFont val="Inter"/>
      </rPr>
      <t xml:space="preserve">
From EPCC Contract (CNCEC+PEC), pg 97:
Performance Liquidated Damages → 10% of the Contract Price
</t>
    </r>
    <r>
      <rPr>
        <b/>
        <sz val="10"/>
        <color theme="1"/>
        <rFont val="Inter"/>
      </rPr>
      <t>Extracted</t>
    </r>
    <r>
      <rPr>
        <sz val="10"/>
        <color theme="1"/>
        <rFont val="Inter"/>
      </rPr>
      <t xml:space="preserve">
CNCEC+PEC → 10%
W&amp;C Draft → 10%
Numerically correct but structurally expanded</t>
    </r>
  </si>
  <si>
    <t>"EPCC Contract, 47.3.1.1.1.1 EPCC Contract - CNCEC+PEC.docx, pg97 of document, 
 (ii) for Performance Liquidated Damages, shall be ten percent (10%) of the Contract Price; and"</t>
  </si>
  <si>
    <r>
      <rPr>
        <b/>
        <sz val="10"/>
        <color theme="1"/>
        <rFont val="Inter"/>
      </rPr>
      <t>Manual Assessment</t>
    </r>
    <r>
      <rPr>
        <sz val="10"/>
        <color theme="1"/>
        <rFont val="Inter"/>
      </rPr>
      <t xml:space="preserve">
Extractor selected aggregate LD cap (20%).
Ground truth expects specific LD cap (10%).
Wrong clause interpretation.
This is not retrieval failure.
This is clause-level misunderstanding.
</t>
    </r>
    <r>
      <rPr>
        <b/>
        <sz val="10"/>
        <color theme="1"/>
        <rFont val="Inter"/>
      </rPr>
      <t>Issues</t>
    </r>
    <r>
      <rPr>
        <sz val="10"/>
        <color theme="1"/>
        <rFont val="Inter"/>
      </rPr>
      <t xml:space="preserve">
Selected wrong LD cap.
Confused aggregate LD cap with specific total LD definition in PEC.
Model selected aggregate LD cap (20%) instead of PEC-defined total LD (10%)</t>
    </r>
  </si>
  <si>
    <r>
      <rPr>
        <b/>
        <sz val="10"/>
        <color theme="1"/>
        <rFont val="Inter"/>
      </rPr>
      <t>Ground Truth (PEC)</t>
    </r>
    <r>
      <rPr>
        <sz val="10"/>
        <color theme="1"/>
        <rFont val="Inter"/>
      </rPr>
      <t xml:space="preserve">
From EPCC Contract (CNCEC+PEC), pg 97:
Maximum Total Liquidated Damages → 10% of Contract Price
</t>
    </r>
    <r>
      <rPr>
        <b/>
        <sz val="10"/>
        <color theme="1"/>
        <rFont val="Inter"/>
      </rPr>
      <t>Extracted</t>
    </r>
    <r>
      <rPr>
        <sz val="10"/>
        <color theme="1"/>
        <rFont val="Inter"/>
      </rPr>
      <t xml:space="preserve">
20% of Contract Price (both contracts)
Legal cap misinterpretation</t>
    </r>
  </si>
  <si>
    <t>1. per feedstock contract
 2. per feestock</t>
  </si>
  <si>
    <t>1. Shell - 47.2.1.1.1 Commercial Term Sheet Shell - Feedstock.docx - pg 2
 Answer: 27million barrels per year of condensate, and 
 10% on top of 170KT of naphtha which is 153KT per year.
 47.2.2.1.1 Equinor - Feedstock Sale and Product Purchase Agreement (EXECUTE.pdf, pg 31
 Minimum 50,000 condensate per day multiplied by the number of days in the relevant contract month
  935 MT of FRN per day multiplied by the number of days in the Contract
 Month to be supplied to the NHT Unit at the Facility (the “NHT Monthly
 Contract Quantity” or “NHT MCQ”</t>
  </si>
  <si>
    <r>
      <rPr>
        <b/>
        <sz val="10"/>
        <color theme="1"/>
        <rFont val="Inter"/>
      </rPr>
      <t>Manual Assessment</t>
    </r>
    <r>
      <rPr>
        <sz val="10"/>
        <color theme="1"/>
        <rFont val="Inter"/>
      </rPr>
      <t xml:space="preserve">
Shell values correct.
Equinor minimum quantities missing.
Partial multi-contract extraction.
</t>
    </r>
    <r>
      <rPr>
        <b/>
        <sz val="10"/>
        <color theme="1"/>
        <rFont val="Inter"/>
      </rPr>
      <t>Issues</t>
    </r>
    <r>
      <rPr>
        <sz val="10"/>
        <color theme="1"/>
        <rFont val="Inter"/>
      </rPr>
      <t xml:space="preserve">
Missing Equinor daily minimum quantities.
Incomplete contract coverage.
IG Equinor minimum quantity clause not retrieved in top-k</t>
    </r>
  </si>
  <si>
    <r>
      <rPr>
        <b/>
        <sz val="10"/>
        <color theme="1"/>
        <rFont val="Inter"/>
      </rPr>
      <t>Ground Truth (PEC)</t>
    </r>
    <r>
      <rPr>
        <sz val="10"/>
        <color theme="1"/>
        <rFont val="Inter"/>
      </rPr>
      <t xml:space="preserve">
Shell:
Condensate → 27 million barrels/year
Naphtha → 153 KT/year
Equinor:
Condensate → 50,000 barrels/day × contract days
FRN → 935 MT/day × contract days
</t>
    </r>
    <r>
      <rPr>
        <b/>
        <sz val="10"/>
        <color theme="1"/>
        <rFont val="Inter"/>
      </rPr>
      <t>Extracted</t>
    </r>
    <r>
      <rPr>
        <sz val="10"/>
        <color theme="1"/>
        <rFont val="Inter"/>
      </rPr>
      <t xml:space="preserve">
Condensate → 27,000,000 barrels
FRN → 153,000 MT
(Shell only)</t>
    </r>
  </si>
  <si>
    <t>1. per product type
 2. per unit</t>
  </si>
  <si>
    <t>Per Type of Product Output
 engineering document: 
 C3 LPG - 2264 BPDS, 64 KMTA
 C4 LPG 7871 BPDS, 253 KMTA
 Light Naphtha 26,462 BPDS, 961 KMTA
 Benzene, 591 KMTA
 para-xylene 1683 KMTA
 kerosene: 16279 BPDS, 718 KMTA
 diesel: 31,536 BPDS, 1440 KMTA
 fuel oil: 460 KMTA
 fuel gas: 465 KMTA
 Sulfur: 4 KMTA</t>
  </si>
  <si>
    <t>DIMENSIONAL_MISMATCH</t>
  </si>
  <si>
    <r>
      <rPr>
        <b/>
        <sz val="10"/>
        <color theme="1"/>
        <rFont val="Inter"/>
      </rPr>
      <t>Manual Assessment</t>
    </r>
    <r>
      <rPr>
        <sz val="10"/>
        <color theme="1"/>
        <rFont val="Inter"/>
      </rPr>
      <t xml:space="preserve">
Extraction structurally incorrect.
Answered per processing unit.
PEC requires per product output.
Dimensional mismatch.
Large over-expansion.
</t>
    </r>
    <r>
      <rPr>
        <b/>
        <sz val="10"/>
        <color theme="1"/>
        <rFont val="Inter"/>
      </rPr>
      <t>Issues</t>
    </r>
    <r>
      <rPr>
        <sz val="10"/>
        <color theme="1"/>
        <rFont val="Inter"/>
      </rPr>
      <t xml:space="preserve">
Wrong dimensional framework (unit vs product).
Over-expansion.
Missing several product categories.
Model interpreted nameplate capacity as process-unit design capacity instead of product output capacity</t>
    </r>
  </si>
  <si>
    <r>
      <rPr>
        <b/>
        <sz val="10"/>
        <color theme="1"/>
        <rFont val="Inter"/>
      </rPr>
      <t xml:space="preserve">Ground Truth (PEC)
</t>
    </r>
    <r>
      <rPr>
        <sz val="10"/>
        <color theme="1"/>
        <rFont val="Inter"/>
      </rPr>
      <t xml:space="preserve">
Per Product Output:
C3 LPG
C4 LPG
Light Naphtha
Benzene
Para-xylene
Kerosene
Diesel
Fuel Oil
Fuel Gas
Sulfur
(With BPDS / KMTA values)
</t>
    </r>
    <r>
      <rPr>
        <b/>
        <sz val="10"/>
        <color theme="1"/>
        <rFont val="Inter"/>
      </rPr>
      <t>Extracted</t>
    </r>
    <r>
      <rPr>
        <sz val="10"/>
        <color theme="1"/>
        <rFont val="Inter"/>
      </rPr>
      <t xml:space="preserve">
Process-unit capacities (NHT, CCR, CFU, Merox, Isomar, etc.)
Some overlap (Benzene, Para-xylene)
Most products missing.
Different structuring (unit-level instead of product-level).</t>
    </r>
  </si>
  <si>
    <t>Per Type of Product Output
 engineering document: 
 C3 LPG - 2264 BPDS, 64 KMTA
 C4 LPG 7871 BPDS, 253 KMTA
 Light Naphtha 26,462 BPDS, 961 KMTA
 Benzene, 591 KMTA
 para-xylene 1683 KMTA
 kerosene: 16279 BPDS, 718 KMTA
 diesel: 31,536 BPDS, 1440 KMTA
 fuel oil: 460 KMTA
 hydrogen rich gas: 51 KMTA
 fuel gas: 465 KMTA
 Sulfur: 4 KMTA</t>
  </si>
  <si>
    <r>
      <rPr>
        <b/>
        <sz val="10"/>
        <color theme="1"/>
        <rFont val="Inter"/>
      </rPr>
      <t>Manual Assessment</t>
    </r>
    <r>
      <rPr>
        <sz val="10"/>
        <color theme="1"/>
        <rFont val="Inter"/>
      </rPr>
      <t xml:space="preserve">
Question asks for units used per product output.
Extractor returned detailed process-unit capacity metrics.
Wrong framing.
Over-expansion.
</t>
    </r>
    <r>
      <rPr>
        <b/>
        <sz val="10"/>
        <color theme="1"/>
        <rFont val="Inter"/>
      </rPr>
      <t>Issues</t>
    </r>
    <r>
      <rPr>
        <sz val="10"/>
        <color theme="1"/>
        <rFont val="Inter"/>
      </rPr>
      <t xml:space="preserve">
Returned capacity values instead of just units.
Mixed multiple measurement bases.
Over-expanded scope.
</t>
    </r>
    <r>
      <rPr>
        <b/>
        <sz val="10"/>
        <color theme="1"/>
        <rFont val="Inter"/>
      </rPr>
      <t>Model interpreted datapoint as “capacity breakdown” instead of “units only”</t>
    </r>
  </si>
  <si>
    <r>
      <rPr>
        <b/>
        <sz val="10"/>
        <color theme="1"/>
        <rFont val="Inter"/>
      </rPr>
      <t xml:space="preserve">Ground Truth (PEC)
</t>
    </r>
    <r>
      <rPr>
        <sz val="10"/>
        <color theme="1"/>
        <rFont val="Inter"/>
      </rPr>
      <t xml:space="preserve">
Units expected:
BPDS
KMTA
Per product output.
</t>
    </r>
    <r>
      <rPr>
        <b/>
        <sz val="10"/>
        <color theme="1"/>
        <rFont val="Inter"/>
      </rPr>
      <t>Extracted</t>
    </r>
    <r>
      <rPr>
        <sz val="10"/>
        <color theme="1"/>
        <rFont val="Inter"/>
      </rPr>
      <t xml:space="preserve">
KMTA
BPSD
MTA
Barrels per calendar year
lb/h
MT/day
(Unit-level + multiple capacity bases)
Misunderstood requirement to extract units only</t>
    </r>
  </si>
  <si>
    <t>YES (partial entities)</t>
  </si>
  <si>
    <r>
      <rPr>
        <b/>
        <sz val="10"/>
        <color theme="1"/>
        <rFont val="Inter"/>
      </rPr>
      <t>Manual Assessment</t>
    </r>
    <r>
      <rPr>
        <sz val="10"/>
        <color theme="1"/>
        <rFont val="Inter"/>
      </rPr>
      <t xml:space="preserve">
Extractor identified only 2 buyer entities.
Missed:
PTT
Pandita
Equinor
Clear undercount.
Not a semantic issue.
Not interpretation.
Incomplete entity enumeration.
</t>
    </r>
    <r>
      <rPr>
        <b/>
        <sz val="10"/>
        <color theme="1"/>
        <rFont val="Inter"/>
      </rPr>
      <t>Issues</t>
    </r>
    <r>
      <rPr>
        <sz val="10"/>
        <color theme="1"/>
        <rFont val="Inter"/>
      </rPr>
      <t xml:space="preserve">
Missed 3 buyer entities.
Incomplete multi-agreement coverage.
Likely incomplete retrieval across all offtake contracts.
IG - Not all offtake agreements retrieved in top-k</t>
    </r>
  </si>
  <si>
    <r>
      <rPr>
        <b/>
        <sz val="10"/>
        <color theme="1"/>
        <rFont val="Inter"/>
      </rPr>
      <t xml:space="preserve">Ground Truth (PEC)
</t>
    </r>
    <r>
      <rPr>
        <sz val="10"/>
        <color theme="1"/>
        <rFont val="Inter"/>
      </rPr>
      <t xml:space="preserve">5
(Buyers: Shell, Mitsui, PTT, Pandita, Equinor)
</t>
    </r>
    <r>
      <rPr>
        <b/>
        <sz val="10"/>
        <color theme="1"/>
        <rFont val="Inter"/>
      </rPr>
      <t>Extracted</t>
    </r>
    <r>
      <rPr>
        <sz val="10"/>
        <color theme="1"/>
        <rFont val="Inter"/>
      </rPr>
      <t xml:space="preserve">
2
(Mitsui &amp; Shell only)
Significant undercount of counterparties</t>
    </r>
  </si>
  <si>
    <t>YES (partial)</t>
  </si>
  <si>
    <r>
      <rPr>
        <b/>
        <sz val="10"/>
        <color theme="1"/>
        <rFont val="Inter"/>
      </rPr>
      <t>Manual Assessment</t>
    </r>
    <r>
      <rPr>
        <sz val="10"/>
        <color theme="1"/>
        <rFont val="Inter"/>
      </rPr>
      <t xml:space="preserve">
Under-counted seller entities.
Only identified 2 from limited documents.
Same pattern as buyer undercount.
</t>
    </r>
    <r>
      <rPr>
        <b/>
        <sz val="10"/>
        <color theme="1"/>
        <rFont val="Inter"/>
      </rPr>
      <t>Issues</t>
    </r>
    <r>
      <rPr>
        <sz val="10"/>
        <color theme="1"/>
        <rFont val="Inter"/>
      </rPr>
      <t xml:space="preserve">
Incomplete seller coverage.
Multi-agreement retrieval insufficient.
Only subset of offtake agreements retrieved</t>
    </r>
  </si>
  <si>
    <r>
      <rPr>
        <b/>
        <sz val="10"/>
        <color theme="1"/>
        <rFont val="Inter"/>
      </rPr>
      <t xml:space="preserve">Ground Truth (PEC)
</t>
    </r>
    <r>
      <rPr>
        <sz val="10"/>
        <color theme="1"/>
        <rFont val="Inter"/>
      </rPr>
      <t xml:space="preserve">5
</t>
    </r>
    <r>
      <rPr>
        <b/>
        <sz val="10"/>
        <color theme="1"/>
        <rFont val="Inter"/>
      </rPr>
      <t>Extracted</t>
    </r>
    <r>
      <rPr>
        <sz val="10"/>
        <color theme="1"/>
        <rFont val="Inter"/>
      </rPr>
      <t xml:space="preserve">
2
(PEC and PSTO)
Counterparty universe incomplete</t>
    </r>
  </si>
  <si>
    <t>DERIVATION_FAILURE</t>
  </si>
  <si>
    <t>Extraction / Reasoning Layer</t>
  </si>
  <si>
    <r>
      <rPr>
        <b/>
        <sz val="10"/>
        <color theme="1"/>
        <rFont val="Inter"/>
      </rPr>
      <t>Manual Assessment</t>
    </r>
    <r>
      <rPr>
        <sz val="10"/>
        <color theme="1"/>
        <rFont val="Inter"/>
      </rPr>
      <t xml:space="preserve">
Products clearly listed in engineering documentation.
Extractor failed to count them.
Complete recall failure.
</t>
    </r>
    <r>
      <rPr>
        <b/>
        <sz val="10"/>
        <color theme="1"/>
        <rFont val="Inter"/>
      </rPr>
      <t>Issues</t>
    </r>
    <r>
      <rPr>
        <sz val="10"/>
        <color theme="1"/>
        <rFont val="Inter"/>
      </rPr>
      <t xml:space="preserve">
Failed to derive numeric count from list.
Engineering doc not fully leveraged.
Model did not convert product list into numeric count</t>
    </r>
  </si>
  <si>
    <r>
      <rPr>
        <b/>
        <sz val="10"/>
        <color theme="1"/>
        <rFont val="Inter"/>
      </rPr>
      <t xml:space="preserve">Ground Truth (PEC)
</t>
    </r>
    <r>
      <rPr>
        <sz val="10"/>
        <color theme="1"/>
        <rFont val="Inter"/>
      </rPr>
      <t xml:space="preserve">11
</t>
    </r>
    <r>
      <rPr>
        <b/>
        <sz val="10"/>
        <color theme="1"/>
        <rFont val="Inter"/>
      </rPr>
      <t>Extracted</t>
    </r>
    <r>
      <rPr>
        <sz val="10"/>
        <color theme="1"/>
        <rFont val="Inter"/>
      </rPr>
      <t xml:space="preserve">
not found
Counting logic missing</t>
    </r>
  </si>
  <si>
    <r>
      <rPr>
        <b/>
        <sz val="10"/>
        <color theme="1"/>
        <rFont val="Inter"/>
      </rPr>
      <t>Manual Assessment</t>
    </r>
    <r>
      <rPr>
        <sz val="10"/>
        <color theme="1"/>
        <rFont val="Inter"/>
      </rPr>
      <t xml:space="preserve">
Earlier extraction identified two terminals (PITSB &amp; Dialog).
But numeric derivation failed here.
System could not translate terminal references into count.
</t>
    </r>
    <r>
      <rPr>
        <b/>
        <sz val="10"/>
        <color theme="1"/>
        <rFont val="Inter"/>
      </rPr>
      <t>Issues</t>
    </r>
    <r>
      <rPr>
        <sz val="10"/>
        <color theme="1"/>
        <rFont val="Inter"/>
      </rPr>
      <t xml:space="preserve">
Derivation failure.
Terminal identity present in context but not counted.
Model did not aggregate terminal names into numeric count</t>
    </r>
  </si>
  <si>
    <r>
      <rPr>
        <b/>
        <sz val="10"/>
        <color theme="1"/>
        <rFont val="Inter"/>
      </rPr>
      <t xml:space="preserve">Ground Truth (PEC)
</t>
    </r>
    <r>
      <rPr>
        <sz val="10"/>
        <color theme="1"/>
        <rFont val="Inter"/>
      </rPr>
      <t xml:space="preserve">2
</t>
    </r>
    <r>
      <rPr>
        <b/>
        <sz val="10"/>
        <color theme="1"/>
        <rFont val="Inter"/>
      </rPr>
      <t>Extracted</t>
    </r>
    <r>
      <rPr>
        <sz val="10"/>
        <color theme="1"/>
        <rFont val="Inter"/>
      </rPr>
      <t xml:space="preserve">
not found
Counting logic missing Again</t>
    </r>
  </si>
  <si>
    <r>
      <rPr>
        <b/>
        <sz val="10"/>
        <color theme="1"/>
        <rFont val="Inter"/>
      </rPr>
      <t>Manual Assessment</t>
    </r>
    <r>
      <rPr>
        <sz val="10"/>
        <color theme="1"/>
        <rFont val="Inter"/>
      </rPr>
      <t xml:space="preserve">
Correctly identified 2.
Missing 3 buyers.
Partial enumeration.
Same pattern as numeric undercount.
</t>
    </r>
    <r>
      <rPr>
        <b/>
        <sz val="10"/>
        <color theme="1"/>
        <rFont val="Inter"/>
      </rPr>
      <t>Issues</t>
    </r>
    <r>
      <rPr>
        <sz val="10"/>
        <color theme="1"/>
        <rFont val="Inter"/>
      </rPr>
      <t xml:space="preserve">
Missing PTT, Pandita, Equinor.
Incomplete contract retrieval.
Not all offtake agreements retrieved</t>
    </r>
  </si>
  <si>
    <r>
      <rPr>
        <b/>
        <sz val="10"/>
        <color theme="1"/>
        <rFont val="Inter"/>
      </rPr>
      <t xml:space="preserve">Ground Truth (PEC)
</t>
    </r>
    <r>
      <rPr>
        <sz val="10"/>
        <color theme="1"/>
        <rFont val="Inter"/>
      </rPr>
      <t xml:space="preserve">
Shell
Mitsui
PTT
Pandita
Equinor
</t>
    </r>
    <r>
      <rPr>
        <b/>
        <sz val="10"/>
        <color theme="1"/>
        <rFont val="Inter"/>
      </rPr>
      <t xml:space="preserve">Extracted
</t>
    </r>
    <r>
      <rPr>
        <sz val="10"/>
        <color theme="1"/>
        <rFont val="Inter"/>
      </rPr>
      <t xml:space="preserve">
Shell (SIETCO)
Mitsui
Same structural gap as count version</t>
    </r>
  </si>
  <si>
    <t>47.2.1.2.1 Commercial Term Sheet Shell _ Offtake.docx,
 pg 1, 
 ans: 12 years
 47.2.2.2.1 Equinor - Feedstock Sale and Product Purchase Agreemen.pdf
 pg 25
 (10th) anniversary of the COD</t>
  </si>
  <si>
    <t>ENTITY_MISALIGNMENT</t>
  </si>
  <si>
    <r>
      <rPr>
        <b/>
        <sz val="10"/>
        <color theme="1"/>
        <rFont val="Inter"/>
      </rPr>
      <t>Manual Assessment</t>
    </r>
    <r>
      <rPr>
        <sz val="10"/>
        <color theme="1"/>
        <rFont val="Inter"/>
      </rPr>
      <t xml:space="preserve">
Extractor pulled correct term structures but for wrong counterparties.
Equinor missing.
Shell misattributed.
Over-expanded beyond PEC scope.
</t>
    </r>
    <r>
      <rPr>
        <b/>
        <sz val="10"/>
        <color theme="1"/>
        <rFont val="Inter"/>
      </rPr>
      <t>Issues</t>
    </r>
    <r>
      <rPr>
        <sz val="10"/>
        <color theme="1"/>
        <rFont val="Inter"/>
      </rPr>
      <t xml:space="preserve">
Counterparty misalignment.
Equinor missing.
Scope expansion to additional contracts.
Model extracted correct terms but mis-mapped counterparties</t>
    </r>
  </si>
  <si>
    <r>
      <rPr>
        <b/>
        <sz val="10"/>
        <color theme="1"/>
        <rFont val="Inter"/>
      </rPr>
      <t>Ground Truth (PEC)</t>
    </r>
    <r>
      <rPr>
        <sz val="10"/>
        <color theme="1"/>
        <rFont val="Inter"/>
      </rPr>
      <t xml:space="preserve">
Shell → 12 years
Equinor → 10th anniversary of COD
</t>
    </r>
    <r>
      <rPr>
        <b/>
        <sz val="10"/>
        <color theme="1"/>
        <rFont val="Inter"/>
      </rPr>
      <t>Extracted</t>
    </r>
    <r>
      <rPr>
        <sz val="10"/>
        <color theme="1"/>
        <rFont val="Inter"/>
      </rPr>
      <t xml:space="preserve">
Mitsui → 12 years
PTT → 5 years (auto to 10)
Hydrogen → 15 years
Shell term not directly extracted as defined in PEC.
Equinor term missing.
Structural counterparty misassignment</t>
    </r>
  </si>
  <si>
    <t>47.2.1.2.1 Commercial Term Sheet Shell _ Offtake.docx,
 pg 1, 
 ans: Option to extend the Term by an additional 5 years, if mutually agreed.
 47.2.2.2.1 Equinor - Feedstock Sale and Product Purchase Agreemen.pdf
 pg 27
 ans: Equinor shall, in its sole discretion, have the option to extend the Term so that the
 Agreement expires at 24:00 hours on the day that is the twelfth (12th) anniversary of
 the COD (the “Extended Expiry Date”) by giving PEC written notice of such
 extension no later than the sixth (6th) anniversary of the Commercial Operations Date.
 Pandita - 47.2.5.1.2 01_Hydrogen Offtake Agreement.pdf
 Term - 15 years. pg 14 of document 
 PTT - 47.2.4.1.1 PEC - PTT POA (PX - BZ) (17 01 23) (signed).pdf
 Term - 10 years pg 22 of document 
 Mitsui - 
 47.2.3.1.2 01_Product Offtake Agreement - PEC v Mitsui Co. Ltd (fully s.pdf
 Term - 12 years pg 21 of document</t>
  </si>
  <si>
    <t>YES (Shell/PTT/Mitsui/Hydrogen only)</t>
  </si>
  <si>
    <r>
      <rPr>
        <b/>
        <sz val="10"/>
        <color theme="1"/>
        <rFont val="Inter"/>
      </rPr>
      <t>Manual Assessment</t>
    </r>
    <r>
      <rPr>
        <sz val="10"/>
        <color theme="1"/>
        <rFont val="Inter"/>
      </rPr>
      <t xml:space="preserve">
Shell captured correctly.
PTT and Mitsui correct.
Hydrogen included.
Equinor extension missing (major omission).
Partial multi-contract coverage.
</t>
    </r>
    <r>
      <rPr>
        <b/>
        <sz val="10"/>
        <color theme="1"/>
        <rFont val="Inter"/>
      </rPr>
      <t>Issues</t>
    </r>
    <r>
      <rPr>
        <sz val="10"/>
        <color theme="1"/>
        <rFont val="Inter"/>
      </rPr>
      <t xml:space="preserve">
Equinor extension clause missing.
Incomplete coverage.</t>
    </r>
  </si>
  <si>
    <r>
      <rPr>
        <b/>
        <sz val="10"/>
        <color theme="1"/>
        <rFont val="Inter"/>
      </rPr>
      <t>Ground Truth (PEC)</t>
    </r>
    <r>
      <rPr>
        <sz val="10"/>
        <color theme="1"/>
        <rFont val="Inter"/>
      </rPr>
      <t xml:space="preserve">
Shell → 5-year mutual extension
Equinor → unilateral option to extend to 12th anniversary of COD
Pandita → 15 years
PTT → 10 years
Mitsui → 12 years
</t>
    </r>
    <r>
      <rPr>
        <b/>
        <sz val="10"/>
        <color theme="1"/>
        <rFont val="Inter"/>
      </rPr>
      <t>Extracted</t>
    </r>
    <r>
      <rPr>
        <sz val="10"/>
        <color theme="1"/>
        <rFont val="Inter"/>
      </rPr>
      <t xml:space="preserve">
PTT → auto renewal
Mitsui → mutual extension
Hydrogen → 5-year auto renewal
Shell → 5-year extension
Equinor missing.</t>
    </r>
  </si>
  <si>
    <t>47.2.1.2.1 Commercial Term Sheet Shell _ Offtake.docx 
 pg 2
 Seller to supply and Buyer to purchase and offtake the following products on a mandatory basis: 
 • Gasoil 10ppm: Baseline Annual Contract Quantity (“ACQ”) of a minimum of 1,440 KT during each Con-tract Year ±10% at Seller’s option; 
 • Jet A-1: ACQ of a minimum of 725 KT during each Contract Year ±10% at Seller’s option; 
 • Very Low Sulphur Fuel Oil: ACQ of a minimum of 420 KT during each Contract Year ±10% at Seller’s option; 
 • Light Naphtha: ACQ of a minimum of 450 KT of the total production during each Contract Year ±10% at Seller’s option;
 • Benzene: ACQ of a minimum of 315 KT of the total production during each Contract Year ±10% at Sell-er’s option; 
 47.2.2.2.1 Equinor - Feedstock Sale and Product Purchase Agreemen.pdf
 pg 32, 
 It is contemplated by the Parties that in the normal course the Facility will produce
 (nominally) 52,000 (+/- 20%) Barrels per day of Product across all the Products,
 comprising the following:
 (i) LVN: 26,000 (+/-20%) bbld;
 (ii) Jet: 16,000 (+/-20%) bbld;
 (iii) Combined C3 and C4: 10,000 (+/-20%) bbld with C3 approximately 1,500bbld
 and C4 approximately 8,500bbld,
 (the “Product Daily Contract Quantity” / “PDCQ”, for each Product and in
 aggregate across all Products, as applicable, subject to adjustments in accordance with
 this Clause 4.6(b)).
 Mitsui - MT for paraxylene and benzene
 PTT - MT for paraxylene and benzene
 Pandita - Nm3</t>
  </si>
  <si>
    <t>INCOMPLETE_MULTI_CONTRACT_COVERAGE</t>
  </si>
  <si>
    <r>
      <rPr>
        <b/>
        <sz val="10"/>
        <color theme="1"/>
        <rFont val="Inter"/>
      </rPr>
      <t>Manual Assessment</t>
    </r>
    <r>
      <rPr>
        <sz val="10"/>
        <color theme="1"/>
        <rFont val="Inter"/>
      </rPr>
      <t xml:space="preserve">
Shell correctly captured.
Mitsui &amp; PTT units captured.
Equinor bbld missing.
Pandita Nm³ missing.
Partial unit coverage across contracts.
</t>
    </r>
    <r>
      <rPr>
        <b/>
        <sz val="10"/>
        <color theme="1"/>
        <rFont val="Inter"/>
      </rPr>
      <t>Issues</t>
    </r>
    <r>
      <rPr>
        <sz val="10"/>
        <color theme="1"/>
        <rFont val="Inter"/>
      </rPr>
      <t xml:space="preserve">
Missed Equinor (bbld).
Missed Pandita (Nm³).
Multi-contract retrieval incomplete.
IG - Not all offtake agreements retrieved in top-k</t>
    </r>
  </si>
  <si>
    <r>
      <rPr>
        <b/>
        <sz val="10"/>
        <color theme="1"/>
        <rFont val="Inter"/>
      </rPr>
      <t xml:space="preserve">Ground Truth (PEC)
</t>
    </r>
    <r>
      <rPr>
        <sz val="10"/>
        <color theme="1"/>
        <rFont val="Inter"/>
      </rPr>
      <t xml:space="preserve">
Units across contracts:
Shell → KT (per year)
Equinor → Barrels per day (bbld)
Mitsui → MT
PTT → MT
Pandita → Nm³
</t>
    </r>
    <r>
      <rPr>
        <b/>
        <sz val="10"/>
        <color theme="1"/>
        <rFont val="Inter"/>
      </rPr>
      <t>Extracted</t>
    </r>
    <r>
      <rPr>
        <sz val="10"/>
        <color theme="1"/>
        <rFont val="Inter"/>
      </rPr>
      <t xml:space="preserve">
Shell → KT
Mitsui → MT
PTT → MT
Equinor → Missing
Pandita → Missing
Units dimension partially captured</t>
    </r>
  </si>
  <si>
    <t>"47.2.1.2.1 Commercial Term Sheet Shell _ Offtake.docx 
 pg 3,
 Each product cargo will be supplied to the Buyer as per below parcel size and grades:
 FIP channel (risk and title to pass at Product Storage Facilities battery limit)
 • Gasoil 10ppm:
 o 6,000 to 40,000 MT ± 5% at Buyer’s option 
 • Jet A-1:
 o 6,000 to 40,000 MT ± 5% at Buyer’s option 
 • Very Low Sulphur Fuel Oil:
 o 12,000 to 40,000 MT ±5% at Buyer’s option 
 • Light Naphtha:
 o 6,000 to 50,000 MT ±5% at Buyer’s option 
 • Benzene:
 o 6,000 to 9,000 MT ±5% at Buyer’s option
 • Any deviation to a parcel size shall be mutually agreed between the Parties
 FOB channel (risk and title to pass at vessel’s flange at loading port)
 • Gasoil 10ppm:
 o 6,000 to 40,000 MT ± 5% at Buyer’s option 
 • Jet A-1:
 o 6,000 to 40,000 MT ± 5% at Buyer’s option 
 • Very Low Sulphur Fuel Oil:
 o 12,000 to 40,000 MT ±5% at Buyer’s option 
 • Light Naphtha:
 o 25,000 to 50,000 MT ±5% at Buyer’s option 
 • Benzene:
 o 6,000 to 9,000 MT ±5% at Buyer’s option 
 Buyer will have the right to co-load any grade that the Buyer deems appropriate and subject to mutual agreement (as further set out in the Operational Document (as defined below)). 
 Equinor - not defined
 Mitsui, 47.2.3.1.2 01_Product Offtake Agreement - PEC v Mitsui Co. Ltd (fully s.pdf, 
 - FOB, document pg 19 
 PTT - 47.2.4.1.1 PEC - PTT POA (PX - BZ) (17 01 23) (signed).pdf, document pg 19, FOB 
 Pandita, 47.2.5.1.2 01_Hydrogen Offtake Agreement.pdf
 Pipeline</t>
  </si>
  <si>
    <t>MINOR_ENTITY_OMISSION</t>
  </si>
  <si>
    <r>
      <rPr>
        <b/>
        <sz val="10"/>
        <color theme="1"/>
        <rFont val="Arial"/>
      </rPr>
      <t>Manual Assessment</t>
    </r>
    <r>
      <rPr>
        <sz val="10"/>
        <color theme="1"/>
        <rFont val="Arial"/>
      </rPr>
      <t xml:space="preserve">
Core channels correct.
Pandita represented as Hydrogen (correct contract, naming slightly off).
Equinor omission (minor, since undefined).
Mostly correct but incomplete coverage.
</t>
    </r>
    <r>
      <rPr>
        <b/>
        <sz val="10"/>
        <color theme="1"/>
        <rFont val="Arial"/>
      </rPr>
      <t>Issues</t>
    </r>
    <r>
      <rPr>
        <sz val="10"/>
        <color theme="1"/>
        <rFont val="Arial"/>
      </rPr>
      <t xml:space="preserve">
Equinor entry omitted.
Minor entity labeling inconsistency.
Equinor delivery clause not retrieved</t>
    </r>
  </si>
  <si>
    <r>
      <rPr>
        <b/>
        <sz val="10"/>
        <color theme="1"/>
        <rFont val="Arial"/>
      </rPr>
      <t>Ground Truth (PEC)</t>
    </r>
    <r>
      <rPr>
        <sz val="10"/>
        <color theme="1"/>
        <rFont val="Arial"/>
      </rPr>
      <t xml:space="preserve">
Shell → FIP &amp; FOB
Mitsui → FOB
PTT → FOB
Pandita → Pipeline
Equinor → Not defined
</t>
    </r>
    <r>
      <rPr>
        <b/>
        <sz val="10"/>
        <color theme="1"/>
        <rFont val="Arial"/>
      </rPr>
      <t>Extracted</t>
    </r>
    <r>
      <rPr>
        <sz val="10"/>
        <color theme="1"/>
        <rFont val="Arial"/>
      </rPr>
      <t xml:space="preserve">
Shell → FIP / FOB
Mitsui → FOB
PTT → FOB
Hydrogen → Pipeline
Equinor not included.
Largely correct operational understanding</t>
    </r>
  </si>
  <si>
    <t>1. per offtake contract
 2. per offtake product</t>
  </si>
  <si>
    <t>Shell, 47.2.1.2.1 Commercial Term Sheet Shell _ Offtake.docx 
 pg 6
 Ans: For each product cargo, the Price formula will be applicable for the respective month of loading at Load port (the Loading Month), which shall be the same as the Feedstock Delivery Month (as defined in Section 1), unless otherwise agreed by the Parties) as below.
 • Price formula = A + B + C 
 o All pricing is basis one-port load and subject to the final terms of the Supply and Offtake Agreement.
 “A”: Pricing benchmark
 • Platts Gasoil 10ppm: MOPS Gasoil 10ppm
 • Jet A-1: MOPS Kero 
 • Very Low Sulphur Fuel Oil: Platts MOPS 0.5 LSFO (Platts code: AMFFA00)– Freight
 • Light Naphtha: Platts MOPJ Naphtha– TC4 (SG-Jpn)
 • Benzene: Platts FOBK Benzene 
 Delivery / loading month average pricing to apply to the above.
 “B”: Market Premium 
 • Platts Gasoil 10ppm: Published Platts Premium (Gasoil 10ppm)1
 • Jet A-1: Published Platts Premium (Kerosene)1
 • Very Low Sulphur Fuel Oil: Market Premium (Platts code FOFSB00)2
 • Light Naphtha: Platts CFR Naphtha Japan Premium (Platts code PAAAD00)3 
 • Benzene: Fixed differential
 “C”: Other costs 
 • All costs actually incurred by Buyer for Seller’s offtake of products to Buyer that is not already in-cluded in “A” and “B” above, which may include shifting, demurrage, insurance and storage for that Loading Month
 • Pre-agreed working capital financing cost incurred by Buyer as a US$/bbl or US$/MT number to Market Premium
 • Hedging cost incurred by Buyer as requested by Seller as a US$/bbl or US$/MT number to Market PremiumMarket Structure Adjustment: A US$/bbl or US$/MT to adjust “B” to account for any dif-ference between pricing for Loading Month and Actual Product Delivery Date incurred by Buyer. In the event FIP or FOB delivery terms apply, market structure adjustment costs to be borne by Seller. “Actual Product Delivery Date”: the actual FIP delivery date or the actual FOB loading date (as may be applicable) 
 Equinor, 47.2.2.2.1 Equinor - Feedstock Sale and Product Purchase Agreemen.pdf
 pg 68
 Product Market Price
 (subject to any applicable Revised Pricing (Monthly Excess Product) or Revised Pricing (Off-
 specification Product), the Product Market Price in US$/MT (or Barrels as applicable) for
 Product delivered in a Contract Month shall be calculated by PEC in accordance with the
 following formula:
 P = PM + AD – MS
 Where
 P = Price per MT/Barrel of Product in US$
 PM = Pricing Marker
 AD = Applicable Differential
 MS = Market Structure
 Pandita - 47.2.5.1.2 01_Hydrogen Offtake Agreement.pdf
 pg 35 = Product price = [LNG FOB WAB x [141.80/(52(1.0551))]/E
 PTT , 47.2.4.1.1 PEC - PTT POA (PX - BZ) (17 01 23) (signed).pdf
 Document page 58, 69: paraxylene product price = (50% ACP + 50% AMP) - Frt + Adjustment
 Benzene product price = Platts FOB Korea + adjustment
 Mitsui, 47.2.3.1.2 01_Product Offtake Agreement - PEC v Mitsui Co. Ltd (fully s.pdf pg 59,60
 paraxylene product price = paraxylene price index + adjustment
 benzene product price = benzene price index - Frt + adjustment</t>
  </si>
  <si>
    <t>MULTI_CONTRACT_PRICING_OMISSION</t>
  </si>
  <si>
    <r>
      <rPr>
        <b/>
        <sz val="10"/>
        <color theme="1"/>
        <rFont val="Arial"/>
      </rPr>
      <t>Manual Assessment</t>
    </r>
    <r>
      <rPr>
        <sz val="10"/>
        <color theme="1"/>
        <rFont val="Arial"/>
      </rPr>
      <t xml:space="preserve">
Shell correct.
Mitsui partially incorrect (Frt wrongly applied to PX).
Hydrogen formula missed.
Equinor formula missing.
PTT pricing missing.
Major multi-contract omissions + formula misinterpretation.
</t>
    </r>
    <r>
      <rPr>
        <b/>
        <sz val="10"/>
        <color theme="1"/>
        <rFont val="Arial"/>
      </rPr>
      <t>Issues</t>
    </r>
    <r>
      <rPr>
        <sz val="10"/>
        <color theme="1"/>
        <rFont val="Arial"/>
      </rPr>
      <t xml:space="preserve">
Equinor missing.
PTT missing.
Hydrogen formula incorrectly treated as unavailable.
Mitsui PX formula misinterpreted
Incomplete cross-contract formula aggregation; misreading freight component</t>
    </r>
  </si>
  <si>
    <t>Ground Truth (PEC)
Shell → A + B + C formula
Equinor → P = PM + AD – MS
Pandita → LNG FOB WAB formula
PTT → (50% ACP + 50% AMP) - Frt + Adjustment
Mitsui → PX index + adjustment; Benzene index - Frt + adjustment
Extracted
Shell → A + B + C (correct)
Mitsui → PX index – Frt + Adjustment (incorrect for PX)
Hydrogen → “not disclosed” (incorrect – formula exists)
Equinor → Missing
PTT → Missing
Pricing formula errors materially impact economic modeling</t>
  </si>
  <si>
    <t>per offtake contract
 per offtake product</t>
  </si>
  <si>
    <t>47.2.1.2.1 Commercial Term Sheet Shell _ Offtake.docx 
 pg 2
 Seller to supply and Buyer to purchase and offtake the following products on a mandatory basis: 
 • Gasoil 10ppm: Baseline Annual Contract Quantity (“ACQ”) of a minimum of 1,440 KT during each Con-tract Year ±10% at Seller’s option; 
 • Jet A-1: ACQ of a minimum of 725 KT during each Contract Year ±10% at Seller’s option; 
 • Very Low Sulphur Fuel Oil: ACQ of a minimum of 420 KT during each Contract Year ±10% at Seller’s option; 
 • Light Naphtha: ACQ of a minimum of 450 KT of the total production during each Contract Year ±10% at Seller’s option;
 • Benzene: ACQ of a minimum of 315 KT of the total production during each Contract Year ±10% at Sell-er’s option; 
 47.2.2.2.1 Equinor - Feedstock Sale and Product Purchase Agreemen.pdf
 pg 32, 
 It is contemplated by the Parties that in the normal course the Facility will produce
 (nominally) 52,000 (+/- 20%) Barrels per day of Product across all the Products,
 comprising the following:
 (i) LVN: 26,000 (+/-20%) bbld;
 (ii) Jet: 16,000 (+/-20%) bbld;
 (iii) Combined C3 and C4: 10,000 (+/-20%) bbld with C3 approximately 1,500bbld
 and C4 approximately 8,500bbld,
 (the “Product Daily Contract Quantity” / “PDCQ”, for each Product and in
 aggregate across all Products, as applicable, subject to adjustments in accordance with
 this Clause 4.6(b)).
 Mitsui - 47.2.3.1.2 01_Product Offtake Agreement - PEC v Mitsui Co. Ltd (fully s.pdf
 pg 2 of document - "Annual contract quantity" means 660,000 metric tonnes of paraxylene per annum and 370,000 metric tonnes of benzene per annum
 PTT - 47.2.4.1.1 PEC - PTT POA (PX - BZ) (17 01 23) (signed).pdf
 pg 8 of document page, annual contract quantity maximum 600,000 is the baseline annual contract quantity. 300,000 benzene baseline annual contract quantity. 
 Pandita - 47.2.5.1.2 01_Hydrogen Offtake Agreement.pdf
 there's no baseline rate. there's a maximum and minimum rate for hydrogen offtake.</t>
  </si>
  <si>
    <t>CRITICAL_EXTRACTION_FAILURE</t>
  </si>
  <si>
    <r>
      <rPr>
        <b/>
        <sz val="10"/>
        <color theme="1"/>
        <rFont val="Arial"/>
      </rPr>
      <t>Manual Assessment</t>
    </r>
    <r>
      <rPr>
        <sz val="10"/>
        <color theme="1"/>
        <rFont val="Arial"/>
      </rPr>
      <t xml:space="preserve">
All quantities clearly available in PEC references.
Extractor failed entirely.
This is major recall failure.
Not retrieval — quantities present in retrieved context.
Extraction logic failed.
</t>
    </r>
    <r>
      <rPr>
        <b/>
        <sz val="10"/>
        <color theme="1"/>
        <rFont val="Arial"/>
      </rPr>
      <t>Issues</t>
    </r>
    <r>
      <rPr>
        <sz val="10"/>
        <color theme="1"/>
        <rFont val="Arial"/>
      </rPr>
      <t xml:space="preserve">
Complete quantity extraction failure.
Baseline ACQ logic not captured.
Multi-product breakdown ignored.
Model did not convert ACQ clauses into structured numeric outputs</t>
    </r>
  </si>
  <si>
    <r>
      <rPr>
        <sz val="10"/>
        <color theme="1"/>
        <rFont val="Arial"/>
      </rPr>
      <t xml:space="preserve">
</t>
    </r>
    <r>
      <rPr>
        <b/>
        <sz val="10"/>
        <color theme="1"/>
        <rFont val="Arial"/>
      </rPr>
      <t>Ground Truth (PEC)</t>
    </r>
    <r>
      <rPr>
        <sz val="10"/>
        <color theme="1"/>
        <rFont val="Arial"/>
      </rPr>
      <t xml:space="preserve">
Shell → 1,440 KT; 725 KT; 420 KT; 450 KT; 315 KT
Equinor → 52,000 bbld aggregate; 26k LVN; 16k Jet; 10k C3/C4
Mitsui → 660,000 MT PX; 370,000 MT BZ
PTT → 600,000 MT PX; 300,000 MT BZ
Pandita → Min/Max hydrogen rates
</t>
    </r>
    <r>
      <rPr>
        <b/>
        <sz val="10"/>
        <color theme="1"/>
        <rFont val="Arial"/>
      </rPr>
      <t>Extracted</t>
    </r>
    <r>
      <rPr>
        <sz val="10"/>
        <color theme="1"/>
        <rFont val="Arial"/>
      </rPr>
      <t xml:space="preserve">
NOT_FOUND
High-impact commercial datapoint failure</t>
    </r>
  </si>
  <si>
    <t>SCOPE_MISALIGNMENT</t>
  </si>
  <si>
    <r>
      <rPr>
        <b/>
        <sz val="10"/>
        <color theme="1"/>
        <rFont val="Arial"/>
      </rPr>
      <t>Manual Assessment</t>
    </r>
    <r>
      <rPr>
        <sz val="10"/>
        <color theme="1"/>
        <rFont val="Arial"/>
      </rPr>
      <t xml:space="preserve">
Extractor listed 2 entities.
PEC answer indicates single consolidated seller.
Scope misalignment (project-level vs document-level
</t>
    </r>
    <r>
      <rPr>
        <b/>
        <sz val="10"/>
        <color theme="1"/>
        <rFont val="Arial"/>
      </rPr>
      <t>Issues</t>
    </r>
    <r>
      <rPr>
        <sz val="10"/>
        <color theme="1"/>
        <rFont val="Arial"/>
      </rPr>
      <t xml:space="preserve">
Over-expansion.
Seller entity interpretation inconsistent
Model enumerated document sellers instead of project-level seller entity</t>
    </r>
  </si>
  <si>
    <r>
      <rPr>
        <b/>
        <sz val="10"/>
        <color theme="1"/>
        <rFont val="Arial"/>
      </rPr>
      <t>Ground Truth (PEC)</t>
    </r>
    <r>
      <rPr>
        <sz val="10"/>
        <color theme="1"/>
        <rFont val="Arial"/>
      </rPr>
      <t xml:space="preserve">
1
(Project-level seller entity)
</t>
    </r>
    <r>
      <rPr>
        <b/>
        <sz val="10"/>
        <color theme="1"/>
        <rFont val="Arial"/>
      </rPr>
      <t>Extracted</t>
    </r>
    <r>
      <rPr>
        <sz val="10"/>
        <color theme="1"/>
        <rFont val="Arial"/>
      </rPr>
      <t xml:space="preserve">
PSTO
PEC
Needs clearer dimensional constraint in prompt</t>
    </r>
  </si>
  <si>
    <t>Shell; 47.11.1.1 Shell Eastern Trading Audited Financials FY 2022.pdf; pg 9, value for 2022 = 6,776,402,000
 Shell; 47.11.1.1 Shell Eastern Trading Audited Financials FY 2023.pdf; pg 9, value for 2023=4,407,259,000
 Shell; 47.11.1.1 Shell Eastern Trading Audited Financials FY 2024.pdf; pg 9, value for 2024 = 3,667,414,000
 PTT, 47.11.4.1 PTT Audited Financials FY 2022.pdf, pg 8, Company Share capital and reserve 2022 - 232,359,283
 PTT, 47.11.4.1 PTT Audited Financials FY 2023.pdf, pg 14, Company Share capital and reserves 2023 - 317,431,507
 PTT, 47.11.4.1 PTT Audited Financials FY 2024.pdf, pg 9, Company Retained Earnings 2024 - 367,175,000</t>
  </si>
  <si>
    <t>TEMPORAL_DIMENSION_OMISSION</t>
  </si>
  <si>
    <r>
      <rPr>
        <b/>
        <sz val="10"/>
        <color theme="1"/>
        <rFont val="Arial"/>
      </rPr>
      <t>Manual Assessment</t>
    </r>
    <r>
      <rPr>
        <sz val="10"/>
        <color theme="1"/>
        <rFont val="Arial"/>
      </rPr>
      <t xml:space="preserve">
Should return 3-year historical values per offtaker.
Extractor returned only latest year.
Multi-year requirement ignored.
Partial compliance.
</t>
    </r>
    <r>
      <rPr>
        <b/>
        <sz val="10"/>
        <color theme="1"/>
        <rFont val="Arial"/>
      </rPr>
      <t>Issues</t>
    </r>
    <r>
      <rPr>
        <sz val="10"/>
        <color theme="1"/>
        <rFont val="Arial"/>
      </rPr>
      <t xml:space="preserve">
Historical dimension missing.
Only latest year returned.
Model defaulted to most recent financial year only</t>
    </r>
  </si>
  <si>
    <r>
      <rPr>
        <b/>
        <sz val="10"/>
        <color theme="1"/>
        <rFont val="Arial"/>
      </rPr>
      <t xml:space="preserve">Ground Truth (PEC)
</t>
    </r>
    <r>
      <rPr>
        <sz val="10"/>
        <color theme="1"/>
        <rFont val="Arial"/>
      </rPr>
      <t xml:space="preserve">
Shell → 3 years values
PTT → 3 years values
</t>
    </r>
    <r>
      <rPr>
        <b/>
        <sz val="10"/>
        <color theme="1"/>
        <rFont val="Arial"/>
      </rPr>
      <t>Extracted</t>
    </r>
    <r>
      <rPr>
        <sz val="10"/>
        <color theme="1"/>
        <rFont val="Arial"/>
      </rPr>
      <t xml:space="preserve">
Initially marked NOT_FOUND but actually listed:
Shell → 2024 only
PTT → 2024 only
Credit risk modeling impacted</t>
    </r>
  </si>
  <si>
    <t>"Shell; 47.11.1.1 Shell Eastern Trading Audited Financials FY 2022.pdf; pg 8, Current Asset value for 2022 = 21,319,920,000
 Shell; 47.11.1.1 Shell Eastern Trading Audited Financials FY 2023.pdf; pg 8, Current Asset value for 2023=15,454,863,000
 Shell; 47.11.1.1 Shell Eastern Trading Audited Financials FY 2024.pdf; pg 8, Current Asset value for 2024 = 15,509,378,000
 PTT, 47.11.4.1 PTT Audited Financials FY 2022.pdf, pg 8, 2022 - Current Asset Company Level - 2,268,172,453
 PTT, 47.11.4.1 PTT Audited Financials FY 2023.pdf, pg 14, Current Asset Company Level - 2,655,457,118
 PTT, 47.11.4.1 PTT Audited Financials FY 2024.pdf, pg 9, Current Asset Company Level - 2,522,026,000</t>
  </si>
  <si>
    <t>ENTITY_LEVEL_MISALIGNMENT</t>
  </si>
  <si>
    <t>Interpretation + Extraction</t>
  </si>
  <si>
    <r>
      <rPr>
        <b/>
        <sz val="10"/>
        <color theme="1"/>
        <rFont val="Arial"/>
      </rPr>
      <t>Manual Assessment</t>
    </r>
    <r>
      <rPr>
        <sz val="10"/>
        <color theme="1"/>
        <rFont val="Arial"/>
      </rPr>
      <t xml:space="preserve">
Shell correct (2024).
PTT incorrect (group vs company-level).
Historical years missing.
Dimensional + entity-level misalignment.
</t>
    </r>
    <r>
      <rPr>
        <b/>
        <sz val="10"/>
        <color theme="1"/>
        <rFont val="Arial"/>
      </rPr>
      <t>Issues</t>
    </r>
    <r>
      <rPr>
        <sz val="10"/>
        <color theme="1"/>
        <rFont val="Arial"/>
      </rPr>
      <t xml:space="preserve">
PTT incorrect base (group not company).
Historical years missing.
Partial numeric mismatch.
Model selected group financials instead of company-level data</t>
    </r>
  </si>
  <si>
    <r>
      <rPr>
        <b/>
        <sz val="10"/>
        <color theme="1"/>
        <rFont val="Arial"/>
      </rPr>
      <t xml:space="preserve">Ground Truth (PEC)
</t>
    </r>
    <r>
      <rPr>
        <sz val="10"/>
        <color theme="1"/>
        <rFont val="Arial"/>
      </rPr>
      <t xml:space="preserve">
Shell → 3 years
PTT → 3 years (company-level)
</t>
    </r>
    <r>
      <rPr>
        <b/>
        <sz val="10"/>
        <color theme="1"/>
        <rFont val="Arial"/>
      </rPr>
      <t xml:space="preserve">Extracted
</t>
    </r>
    <r>
      <rPr>
        <sz val="10"/>
        <color theme="1"/>
        <rFont val="Arial"/>
      </rPr>
      <t xml:space="preserve">
Shell → 2024 correct
PTT → Wrong value (group-level mismatch)
Only latest year provided.</t>
    </r>
  </si>
  <si>
    <t>"Shell; 47.11.1.1 Shell Eastern Trading Audited Financials FY 2022.pdf; pg 8, value for 2022 = 14,539,170,000
 Shell; 47.11.1.1 Shell Eastern Trading Audited Financials FY 2023.pdf; pg 8, value for 2023=11,284,630,000
 Shell; 47.11.1.1 Shell Eastern Trading Audited Financials FY 2024.pdf; pg 8, value for 2024 = 12,078,104,000
 PTT, 47.11.4.1 PTT Audited Financials FY 2022.pdf, pg 9, 2022 - Current Liabilities Company Level - 2,047,461,678
 PTT, 47.11.4.1 PTT Audited Financials FY 2023.pdf, pg 16, Current Liabilities Company Level - 2,350,856,731
 PTT, 47.11.4.1 PTT Audited Financials FY 2024.pdf, pg 10, Current Liabilities Company Level - 2,158,574,000
 "</t>
  </si>
  <si>
    <t>TEMPORAL_AND_MULTI_ENTITY_OMISSION</t>
  </si>
  <si>
    <r>
      <rPr>
        <b/>
        <sz val="10"/>
        <color theme="1"/>
        <rFont val="Arial"/>
      </rPr>
      <t>Manual Assessment</t>
    </r>
    <r>
      <rPr>
        <sz val="10"/>
        <color theme="1"/>
        <rFont val="Arial"/>
      </rPr>
      <t xml:space="preserve">
Shell 2024 value numerically correct (but in US$’000).
Historical years missing.
PTT completely missing.
Temporal + multi-entity coverage failure.
</t>
    </r>
    <r>
      <rPr>
        <b/>
        <sz val="10"/>
        <color theme="1"/>
        <rFont val="Arial"/>
      </rPr>
      <t>Issues</t>
    </r>
    <r>
      <rPr>
        <sz val="10"/>
        <color theme="1"/>
        <rFont val="Arial"/>
      </rPr>
      <t xml:space="preserve">
Only latest year extracted.
PTT liabilities missing.
Unit scaling inconsistency (thousands vs full value).
Model defaulted to most recent Shell balance sheet only</t>
    </r>
  </si>
  <si>
    <r>
      <rPr>
        <b/>
        <sz val="10"/>
        <color theme="1"/>
        <rFont val="Arial"/>
      </rPr>
      <t xml:space="preserve">Ground Truth (PEC)
</t>
    </r>
    <r>
      <rPr>
        <sz val="10"/>
        <color theme="1"/>
        <rFont val="Arial"/>
      </rPr>
      <t xml:space="preserve">
Shell (3 years):
2022 → 14,539,170,000
2023 → 11,284,630,000
2024 → 12,078,104,000
PTT (3 years, company level):
2022 → 2,047,461,678
2023 → 2,350,856,731
2024 → 2,158,574,000
</t>
    </r>
    <r>
      <rPr>
        <b/>
        <sz val="10"/>
        <color theme="1"/>
        <rFont val="Arial"/>
      </rPr>
      <t>Extracted</t>
    </r>
    <r>
      <rPr>
        <sz val="10"/>
        <color theme="1"/>
        <rFont val="Arial"/>
      </rPr>
      <t xml:space="preserve">
Shell → 12,078,104 (FY2024 only, in thousands)
PTT → Missing
Liquidity risk analysis distorted</t>
    </r>
  </si>
  <si>
    <t>Shell; 47.11.1.1 Shell Eastern Trading Audited Financials FY 2022.pdf; pg 7, "Profit before tax": value for 2022 = 6,221,173,000
 Shell; 47.11.1.1 Shell Eastern Trading Audited Financials FY 2023.pdf; pg 7, "Profit before tax": value for 2023=2,088,510,000
 Shell; 47.11.1.1 Shell Eastern Trading Audited Financials FY 2024.pdf; pg 7, "Profit before tax":value for 2024 = 1,954,797,000
 PTT, 47.11.4.1 PTT Audited Financials FY 2022.pdf, pg 7, Company Profit before taxation 2022 - 76,907,235
 PTT, 47.11.4.1 PTT Audited Financials FY 2023.pdf, pg 13, Company Profit before taxation 2023 - 101,217,229
 PTT, 47.11.4.1 PTT Audited Financials FY 2024.pdf, pg 8, Company Profit before taxation 2024 - 78,015,000</t>
  </si>
  <si>
    <t>METRIC_MISINTERPRETATION</t>
  </si>
  <si>
    <r>
      <rPr>
        <b/>
        <sz val="10"/>
        <color theme="1"/>
        <rFont val="Arial"/>
      </rPr>
      <t>Manual Assessment</t>
    </r>
    <r>
      <rPr>
        <sz val="10"/>
        <color theme="1"/>
        <rFont val="Arial"/>
      </rPr>
      <t xml:space="preserve">
Used EBIT derivation instead of PEC reference metric (PBT).
Shell value incorrect (1,840,990 vs 1,954,797).
PTT slightly off (78,907 vs 78,015).
Historical years missing.
Wrong financial line item logic.
</t>
    </r>
    <r>
      <rPr>
        <b/>
        <sz val="10"/>
        <color theme="1"/>
        <rFont val="Arial"/>
      </rPr>
      <t>Issues</t>
    </r>
    <r>
      <rPr>
        <sz val="10"/>
        <color theme="1"/>
        <rFont val="Arial"/>
      </rPr>
      <t xml:space="preserve">
Wrong metric (EBIT vs PBT).
Incorrect numeric values.
Missing 2022 &amp; 2023.
Group vs company inconsistency for PTT.
</t>
    </r>
    <r>
      <rPr>
        <b/>
        <sz val="10"/>
        <color theme="1"/>
        <rFont val="Arial"/>
      </rPr>
      <t>Model derived EBIT instead of using stated PBT reference</t>
    </r>
  </si>
  <si>
    <r>
      <rPr>
        <b/>
        <sz val="10"/>
        <color theme="1"/>
        <rFont val="Arial"/>
      </rPr>
      <t xml:space="preserve">Ground Truth (PEC uses Profit Before Tax proxy)
</t>
    </r>
    <r>
      <rPr>
        <sz val="10"/>
        <color theme="1"/>
        <rFont val="Arial"/>
      </rPr>
      <t xml:space="preserve">
Shell (3 years):
2022 → 6,221,173,000
2023 → 2,088,510,000
2024 → 1,954,797,000
PTT (3 years):
2022 → 76,907,235
2023 → 101,217,229
2024 → 78,015,000
</t>
    </r>
    <r>
      <rPr>
        <b/>
        <sz val="10"/>
        <color theme="1"/>
        <rFont val="Arial"/>
      </rPr>
      <t>Extracted</t>
    </r>
    <r>
      <rPr>
        <sz val="10"/>
        <color theme="1"/>
        <rFont val="Arial"/>
      </rPr>
      <t xml:space="preserve">
Shell → 1,840,990 (derived EBIT, FY2024 only)
PTT → 78,907 (derived EBIT, FY2024 only, group)
Credit scoring logic impacted</t>
    </r>
  </si>
  <si>
    <t>Shell; 47.11.1.1 Shell Eastern Trading Audited Financials FY 2022.pdf; pg 9, value for 2022 = 5,930,393,000
 Shell; 47.11.1.1 Shell Eastern Trading Audited Financials FY 2023.pdf; pg 9, value for 2023=3,558,603,000
 Shell; 47.11.1.1 Shell Eastern Trading Audited Financials FY 2024.pdf; pg 9, value for 2024 = 2,817,214,000
 PTT, 47.11.4.1 PTT Audited Financials FY 2022.pdf, pg 10, Company Retained Earnings 2022 - 228,369,349
 PTT, 47.11.4.1 PTT Audited Financials FY 2023.pdf, pg 14, Company Retained Earnings 2023 - 313,440,682
 PTT, 47.11.4.1 PTT Audited Financials FY 2024.pdf, pg 12, Company Retained Earnings 2024 - 363,188,000</t>
  </si>
  <si>
    <r>
      <rPr>
        <b/>
        <sz val="10"/>
        <color theme="1"/>
        <rFont val="Arial"/>
      </rPr>
      <t>Manual Assessment</t>
    </r>
    <r>
      <rPr>
        <sz val="10"/>
        <color theme="1"/>
        <rFont val="Arial"/>
      </rPr>
      <t xml:space="preserve">
All values clearly present in audited financials.
Extractor failed completely.
Clear extraction-layer failure.
</t>
    </r>
    <r>
      <rPr>
        <b/>
        <sz val="10"/>
        <color theme="1"/>
        <rFont val="Arial"/>
      </rPr>
      <t>Issues</t>
    </r>
    <r>
      <rPr>
        <sz val="10"/>
        <color theme="1"/>
        <rFont val="Arial"/>
      </rPr>
      <t xml:space="preserve">
Complete failure despite evidence present.
Multi-year and multi-entity ignored.
Model unable to detect retained earnings line item reliably</t>
    </r>
  </si>
  <si>
    <r>
      <rPr>
        <b/>
        <sz val="10"/>
        <color theme="1"/>
        <rFont val="Arial"/>
      </rPr>
      <t>Ground Truth (PEC)</t>
    </r>
    <r>
      <rPr>
        <sz val="10"/>
        <color theme="1"/>
        <rFont val="Arial"/>
      </rPr>
      <t xml:space="preserve">
Shell (3 years):
2022 → 5,930,393,000
2023 → 3,558,603,000
2024 → 2,817,214,000
PTT (3 years, company level):
2022 → 228,369,349
2023 → 313,440,682
2024 → 363,188,000
</t>
    </r>
    <r>
      <rPr>
        <b/>
        <sz val="10"/>
        <color theme="1"/>
        <rFont val="Arial"/>
      </rPr>
      <t>Extracted</t>
    </r>
    <r>
      <rPr>
        <sz val="10"/>
        <color theme="1"/>
        <rFont val="Arial"/>
      </rPr>
      <t xml:space="preserve">
NOT_FOUND
Equity cushion analysis blocked</t>
    </r>
  </si>
  <si>
    <t>Shell; 47.11.1.1 Shell Eastern Trading Audited Financials FY 2022.pdf; pg 8, value for 2022 = 21,822,162,000
 Shell; 47.11.1.1 Shell Eastern Trading Audited Financials FY 2023.pdf; pg 8, value for 2023 = 16,075,492,000
 Shell; 47.11.1.1 Shell Eastern Trading Audited Financials FY 2024.pdf; pg 8, value for 2024 = 16,127,552,000
 PTT; 47.11.4.3 PTT Audited Financials FY 2024.pdf; pg 12, total asset value at company level for 2024 = 2,522,026,000 + 4,429,000 = 2,526,455,000
 PTT; 47.11.4.2 PTT Audited Financials FY 2023.pdf; pg 14,total asset value at company level for 2023 = 2,655,457,118 + 13,275,121 = 2,668,732,239
 PTT; 47.11.4.1 PTT Audited Financials FY 2022.pdf; pg 10, total asset value for 2022 at company level = 2,268,172,453 + 12,873,065 = 2,281,045,518</t>
  </si>
  <si>
    <t>FINANCIAL_LINE_ITEM_EXTRACTION_FAILURE</t>
  </si>
  <si>
    <r>
      <rPr>
        <b/>
        <sz val="10"/>
        <color theme="1"/>
        <rFont val="Arial"/>
      </rPr>
      <t>Manual Assessment</t>
    </r>
    <r>
      <rPr>
        <sz val="10"/>
        <color theme="1"/>
        <rFont val="Arial"/>
      </rPr>
      <t xml:space="preserve">
All figures available in balance sheets.
Extractor returned none.
Clear failure in numeric financial extraction.
</t>
    </r>
    <r>
      <rPr>
        <b/>
        <sz val="10"/>
        <color theme="1"/>
        <rFont val="Arial"/>
      </rPr>
      <t>Issues</t>
    </r>
    <r>
      <rPr>
        <sz val="10"/>
        <color theme="1"/>
        <rFont val="Arial"/>
      </rPr>
      <t xml:space="preserve">
Total asset line not recognized.
Company-level computation (PTT sum) not captured.
Temporal dimension ignored.
Model failed to identify “Total Assets” heading consistently</t>
    </r>
  </si>
  <si>
    <r>
      <rPr>
        <b/>
        <sz val="10"/>
        <color theme="1"/>
        <rFont val="Arial"/>
      </rPr>
      <t xml:space="preserve">Ground Truth (PEC)
</t>
    </r>
    <r>
      <rPr>
        <sz val="10"/>
        <color theme="1"/>
        <rFont val="Arial"/>
      </rPr>
      <t xml:space="preserve">
Shell (3 years):
2022 → 21,822,162,000
2023 → 16,075,492,000
2024 → 16,127,552,000
PTT (company level):
2022 → 2,281,045,518
2023 → 2,668,732,239
2024 → 2,526,455,000
</t>
    </r>
    <r>
      <rPr>
        <b/>
        <sz val="10"/>
        <color theme="1"/>
        <rFont val="Arial"/>
      </rPr>
      <t>Extracted</t>
    </r>
    <r>
      <rPr>
        <sz val="10"/>
        <color theme="1"/>
        <rFont val="Arial"/>
      </rPr>
      <t xml:space="preserve">
NOT_FOUND
Leverage &amp; solvency metrics blocked</t>
    </r>
  </si>
  <si>
    <t>project finance model, 
 excel sheet: C_ops
 row 13, sum up for each year
 358 days per calendar year</t>
  </si>
  <si>
    <r>
      <rPr>
        <b/>
        <sz val="10"/>
        <color theme="1"/>
        <rFont val="Arial"/>
      </rPr>
      <t>Manual Assessment</t>
    </r>
    <r>
      <rPr>
        <sz val="10"/>
        <color theme="1"/>
        <rFont val="Arial"/>
      </rPr>
      <t xml:space="preserve">
Extractor misunderstood structure.
Assumed dynamic model logic instead of fixed annual operating days.
Clear financial model navigation failure.
</t>
    </r>
    <r>
      <rPr>
        <b/>
        <sz val="10"/>
        <color theme="1"/>
        <rFont val="Arial"/>
      </rPr>
      <t>Issues</t>
    </r>
    <r>
      <rPr>
        <sz val="10"/>
        <color theme="1"/>
        <rFont val="Arial"/>
      </rPr>
      <t xml:space="preserve">
Excel model navigation issue.
Derived value logic not implemented.
Model misinterpreted financial model structure</t>
    </r>
  </si>
  <si>
    <r>
      <rPr>
        <b/>
        <sz val="10"/>
        <color theme="1"/>
        <rFont val="Arial"/>
      </rPr>
      <t>Ground Truth (PEC)</t>
    </r>
    <r>
      <rPr>
        <sz val="10"/>
        <color theme="1"/>
        <rFont val="Arial"/>
      </rPr>
      <t xml:space="preserve">
Project Finance Model → C_ops → Row 13
358 days per calendar year
</t>
    </r>
    <r>
      <rPr>
        <b/>
        <sz val="10"/>
        <color theme="1"/>
        <rFont val="Arial"/>
      </rPr>
      <t>Extracted</t>
    </r>
    <r>
      <rPr>
        <sz val="10"/>
        <color theme="1"/>
        <rFont val="Arial"/>
      </rPr>
      <t xml:space="preserve">
NOT_FOUND
Throughput modeling affected</t>
    </r>
  </si>
  <si>
    <t>EPCC Contract, 47.3.1.1.1.1 EPCC Contract - CNCEC+PEC.docx, pg42 of document, 
 Prior to the Commencement Date, the Contractor shall furnish an unconditional, on-demand and irrevocable bank guarantee payable on first demand of the Owner, issued by an Acceptable Provider, in the form given in Exhibit VI [Form of Performance and Warranty Bond], in an amount equal to fifteen percent (15%) of the Contract Price, as security for the Contractor's proper performance of all its obligations under the Contract (the “Performance and Warranty Bond”). The Performance and Warranty Bond shall be governed by the laws of England and Wales. The amount of the Performance and Warranty Bond shall be reduced to an amount equal to seven point five percent (7.5%) of the Contract Price upon the issuance of the Initial Acceptance Certificate. The Performance and Warranty Bond (or any replacement thereof) shall be valid until the ninetieth (90th) day after the date of the Final Acceptance Certificate. The effectiveness of the Performance and Warranty Bond shall be conditional upon the receipt by the Contractor of the Advance Payment.</t>
  </si>
  <si>
    <t>CLAUSE_COMPLETENESS_OMISSION</t>
  </si>
  <si>
    <r>
      <rPr>
        <b/>
        <sz val="10"/>
        <color theme="1"/>
        <rFont val="Arial"/>
      </rPr>
      <t>Manual Assessment</t>
    </r>
    <r>
      <rPr>
        <sz val="10"/>
        <color theme="1"/>
        <rFont val="Arial"/>
      </rPr>
      <t xml:space="preserve">
15% correctly extracted.
However:
Reduction clause (7.5%) not captured.
Partial structural completeness
</t>
    </r>
    <r>
      <rPr>
        <b/>
        <sz val="10"/>
        <color theme="1"/>
        <rFont val="Arial"/>
      </rPr>
      <t>Issues</t>
    </r>
    <r>
      <rPr>
        <sz val="10"/>
        <color theme="1"/>
        <rFont val="Arial"/>
      </rPr>
      <t xml:space="preserve">
Post-IAC reduction clause omitted.
Lifecycle logic not captured.
Model stopped at first percentage reference</t>
    </r>
  </si>
  <si>
    <r>
      <rPr>
        <b/>
        <sz val="10"/>
        <color theme="1"/>
        <rFont val="Arial"/>
      </rPr>
      <t>Ground Truth (PEC)</t>
    </r>
    <r>
      <rPr>
        <sz val="10"/>
        <color theme="1"/>
        <rFont val="Arial"/>
      </rPr>
      <t xml:space="preserve">
15% initial
Reduced to 7.5% after Initial Acceptance Certificate
</t>
    </r>
    <r>
      <rPr>
        <b/>
        <sz val="10"/>
        <color theme="1"/>
        <rFont val="Arial"/>
      </rPr>
      <t>Extracted</t>
    </r>
    <r>
      <rPr>
        <sz val="10"/>
        <color theme="1"/>
        <rFont val="Arial"/>
      </rPr>
      <t xml:space="preserve">
15
Commercial risk still largely captured</t>
    </r>
  </si>
  <si>
    <t>47.3.2.1.1.1.1 01_PEC En.pdf
 document page 36, Ans: 1683 KMTA of Paraxylene</t>
  </si>
  <si>
    <t>UNIT_SCALING_DISTORTION</t>
  </si>
  <si>
    <r>
      <rPr>
        <b/>
        <sz val="10"/>
        <color theme="1"/>
        <rFont val="Arial"/>
      </rPr>
      <t>Manual Assessment</t>
    </r>
    <r>
      <rPr>
        <sz val="10"/>
        <color theme="1"/>
        <rFont val="Arial"/>
      </rPr>
      <t xml:space="preserve">
Main product (Paraxylene) correctly identified.=
Correct nominal capacity (1683 KMTA).
Additional benzene details are extra but not incorrect.
However, extractor inflated unit to “1,683,000 KMTA” (unit distortion).
Should be 1683 KMTA, not 1,683,000 KMTA.
</t>
    </r>
    <r>
      <rPr>
        <b/>
        <sz val="10"/>
        <color theme="1"/>
        <rFont val="Arial"/>
      </rPr>
      <t>Issues</t>
    </r>
    <r>
      <rPr>
        <sz val="10"/>
        <color theme="1"/>
        <rFont val="Arial"/>
      </rPr>
      <t xml:space="preserve">
Unit scaling distortion (KMTA vs metric ton conversion confusion).
Included secondary product unnecessarily.
Over-expansion beyond “main product”.
Model converted KMTA incorrectly into absolute metric tons</t>
    </r>
  </si>
  <si>
    <r>
      <rPr>
        <b/>
        <sz val="10"/>
        <color theme="1"/>
        <rFont val="Arial"/>
      </rPr>
      <t>Ground Truth (PEC)</t>
    </r>
    <r>
      <rPr>
        <sz val="10"/>
        <color theme="1"/>
        <rFont val="Arial"/>
      </rPr>
      <t xml:space="preserve">
1683 KMTA of Paraxylene
(Source: Engineering Agreement – Page 36)
</t>
    </r>
    <r>
      <rPr>
        <b/>
        <sz val="10"/>
        <color theme="1"/>
        <rFont val="Arial"/>
      </rPr>
      <t>Extracted</t>
    </r>
    <r>
      <rPr>
        <sz val="10"/>
        <color theme="1"/>
        <rFont val="Arial"/>
      </rPr>
      <t xml:space="preserve">
Para-xylene → 1,683,000 KMTA
Benzene → 591,000 KMTA
Nameplate capacity concept understood but unit logic flawed</t>
    </r>
  </si>
  <si>
    <t>47.1.6 06_PEC Pitch_Jan 26_Sub Debt.pdf 
 pg3
 Ans: Malaysia</t>
  </si>
  <si>
    <r>
      <rPr>
        <b/>
        <sz val="10"/>
        <color theme="1"/>
        <rFont val="Arial"/>
      </rPr>
      <t xml:space="preserve">Manual Assessment
</t>
    </r>
    <r>
      <rPr>
        <sz val="10"/>
        <color theme="1"/>
        <rFont val="Arial"/>
      </rPr>
      <t>Correct country.
Exact match.</t>
    </r>
  </si>
  <si>
    <r>
      <rPr>
        <b/>
        <sz val="10"/>
        <color theme="1"/>
        <rFont val="Arial"/>
      </rPr>
      <t>Ground Truth (PEC)</t>
    </r>
    <r>
      <rPr>
        <sz val="10"/>
        <color theme="1"/>
        <rFont val="Arial"/>
      </rPr>
      <t xml:space="preserve">
Malaysia
</t>
    </r>
    <r>
      <rPr>
        <b/>
        <sz val="10"/>
        <color theme="1"/>
        <rFont val="Arial"/>
      </rPr>
      <t>Extracted</t>
    </r>
    <r>
      <rPr>
        <sz val="10"/>
        <color theme="1"/>
        <rFont val="Arial"/>
      </rPr>
      <t xml:space="preserve">
Malaysia</t>
    </r>
  </si>
  <si>
    <t>47.1.6 06_PEC Pitch_Jan 26_Sub Debt.pdf 
 pg3
 Ans:
 Pengerang Integrated Petrochemical Complex (PIPC)</t>
  </si>
  <si>
    <t>DEFINITION_MISINTERPRETATION</t>
  </si>
  <si>
    <r>
      <rPr>
        <b/>
        <sz val="10"/>
        <color theme="1"/>
        <rFont val="Arial"/>
      </rPr>
      <t>Manual Assessment</t>
    </r>
    <r>
      <rPr>
        <sz val="10"/>
        <color theme="1"/>
        <rFont val="Arial"/>
      </rPr>
      <t xml:space="preserve">
Location clearly stated in pitch deck.
Extractor incorrectly searched for GPS coordinates instead of site name.
Definition confusion (label says GPS, PEC answer gives site name).
Extraction-layer misunderstanding of expected output format.
</t>
    </r>
    <r>
      <rPr>
        <b/>
        <sz val="10"/>
        <color theme="1"/>
        <rFont val="Arial"/>
      </rPr>
      <t>Issues</t>
    </r>
    <r>
      <rPr>
        <sz val="10"/>
        <color theme="1"/>
        <rFont val="Arial"/>
      </rPr>
      <t xml:space="preserve">
Definition mismatch (GPS vs named complex).
Failed to capture clearly stated site name.
Model strictly searched for coordinates instead of descriptive location</t>
    </r>
  </si>
  <si>
    <r>
      <rPr>
        <b/>
        <sz val="10"/>
        <color theme="1"/>
        <rFont val="Arial"/>
      </rPr>
      <t>Ground Truth (PEC)</t>
    </r>
    <r>
      <rPr>
        <sz val="10"/>
        <color theme="1"/>
        <rFont val="Arial"/>
      </rPr>
      <t xml:space="preserve">
Pengerang Integrated Petrochemical Complex (PIPC)
</t>
    </r>
    <r>
      <rPr>
        <b/>
        <sz val="10"/>
        <color theme="1"/>
        <rFont val="Arial"/>
      </rPr>
      <t>Extracted</t>
    </r>
    <r>
      <rPr>
        <sz val="10"/>
        <color theme="1"/>
        <rFont val="Arial"/>
      </rPr>
      <t xml:space="preserve">
NOT_FOUND
Simple site-name extraction failed</t>
    </r>
  </si>
  <si>
    <r>
      <rPr>
        <b/>
        <sz val="10"/>
        <color theme="1"/>
        <rFont val="Arial"/>
      </rPr>
      <t>Manual Assessment</t>
    </r>
    <r>
      <rPr>
        <sz val="10"/>
        <color theme="1"/>
        <rFont val="Arial"/>
      </rPr>
      <t xml:space="preserve">
Extractor pulled single-year construction phase value.
Ignored Dashboard total.
Negative sign misinterpreted.
Wrong sheet selection.
Clear financial model navigation failure.
</t>
    </r>
    <r>
      <rPr>
        <b/>
        <sz val="10"/>
        <color theme="1"/>
        <rFont val="Arial"/>
      </rPr>
      <t>Issues</t>
    </r>
    <r>
      <rPr>
        <sz val="10"/>
        <color theme="1"/>
        <rFont val="Arial"/>
      </rPr>
      <t xml:space="preserve">
Wrong sheet (Output_Annual instead of Dashboard).
Pulled annual flow instead of total.
Sign error.
Unit mismatch (USDk vs USD).
Model selected first visible capex row instead of dashboard summary</t>
    </r>
  </si>
  <si>
    <r>
      <rPr>
        <b/>
        <sz val="10"/>
        <color theme="1"/>
        <rFont val="Arial"/>
      </rPr>
      <t>Ground Truth (PEC)</t>
    </r>
    <r>
      <rPr>
        <sz val="10"/>
        <color theme="1"/>
        <rFont val="Arial"/>
      </rPr>
      <t xml:space="preserve">
3,765,250,000 (Project Finance Model – Dashboard M31)
</t>
    </r>
    <r>
      <rPr>
        <b/>
        <sz val="10"/>
        <color theme="1"/>
        <rFont val="Arial"/>
      </rPr>
      <t>Extracted</t>
    </r>
    <r>
      <rPr>
        <sz val="10"/>
        <color theme="1"/>
        <rFont val="Arial"/>
      </rPr>
      <t xml:space="preserve">
-379,524 (USDk, construction year only)
Major distortion of project size</t>
    </r>
  </si>
  <si>
    <t>47.1.6 06_PEC Pitch_Jan 26_Sub Debt.pdf, pg 15, 
 Ans: USD 5.4 bln</t>
  </si>
  <si>
    <r>
      <rPr>
        <b/>
        <sz val="10"/>
        <color theme="1"/>
        <rFont val="Arial"/>
      </rPr>
      <t>Manual Assessment</t>
    </r>
    <r>
      <rPr>
        <sz val="10"/>
        <color theme="1"/>
        <rFont val="Arial"/>
      </rPr>
      <t xml:space="preserve">
5411.6 million ≈ 5.4 billion.
Correct economic magnitude.
Minor rounding difference.
</t>
    </r>
    <r>
      <rPr>
        <b/>
        <sz val="10"/>
        <color theme="1"/>
        <rFont val="Arial"/>
      </rPr>
      <t>Issues</t>
    </r>
    <r>
      <rPr>
        <sz val="10"/>
        <color theme="1"/>
        <rFont val="Arial"/>
      </rPr>
      <t xml:space="preserve">
Minor rounding precision.</t>
    </r>
  </si>
  <si>
    <r>
      <rPr>
        <b/>
        <sz val="10"/>
        <color theme="1"/>
        <rFont val="Arial"/>
      </rPr>
      <t>Ground Truth (PEC)</t>
    </r>
    <r>
      <rPr>
        <sz val="10"/>
        <color theme="1"/>
        <rFont val="Arial"/>
      </rPr>
      <t xml:space="preserve">
USD 5.4 billion
</t>
    </r>
    <r>
      <rPr>
        <b/>
        <sz val="10"/>
        <color theme="1"/>
        <rFont val="Arial"/>
      </rPr>
      <t xml:space="preserve">Extracted
</t>
    </r>
    <r>
      <rPr>
        <sz val="10"/>
        <color theme="1"/>
        <rFont val="Arial"/>
      </rPr>
      <t>5411.6 (USD millions)</t>
    </r>
  </si>
  <si>
    <t>FORMULA_STRUCTURING_VARIANCE</t>
  </si>
  <si>
    <r>
      <rPr>
        <b/>
        <sz val="10"/>
        <color theme="1"/>
        <rFont val="Arial"/>
      </rPr>
      <t>Manual Assessment</t>
    </r>
    <r>
      <rPr>
        <sz val="10"/>
        <color theme="1"/>
        <rFont val="Arial"/>
      </rPr>
      <t xml:space="preserve">
Core structure correct.
Captured CPI 40% weight and 3% cap.
More detailed than PEC baseline.
Slight terminology deviation (tariff vs sum of charges).
Economically aligned.
</t>
    </r>
    <r>
      <rPr>
        <b/>
        <sz val="10"/>
        <color theme="1"/>
        <rFont val="Arial"/>
      </rPr>
      <t>Issues</t>
    </r>
    <r>
      <rPr>
        <sz val="10"/>
        <color theme="1"/>
        <rFont val="Arial"/>
      </rPr>
      <t xml:space="preserve">
Terminology variation.
Expanded into multiple sub-components.
Model decomposed formula into explicit components</t>
    </r>
  </si>
  <si>
    <r>
      <rPr>
        <b/>
        <sz val="10"/>
        <color theme="1"/>
        <rFont val="Arial"/>
      </rPr>
      <t xml:space="preserve">Ground Truth (PEC)
</t>
    </r>
    <r>
      <rPr>
        <sz val="10"/>
        <color theme="1"/>
        <rFont val="Arial"/>
      </rPr>
      <t xml:space="preserve">
Sum of charges per month × total capacity
40% pegged to Malaysia CPI
CPI capped at 3%
</t>
    </r>
    <r>
      <rPr>
        <b/>
        <sz val="10"/>
        <color theme="1"/>
        <rFont val="Arial"/>
      </rPr>
      <t>Extracted</t>
    </r>
    <r>
      <rPr>
        <sz val="10"/>
        <color theme="1"/>
        <rFont val="Arial"/>
      </rPr>
      <t xml:space="preserve">
Tariff × Total Capacity
Annual escalation: 1 + 0.4 × CPI
CPI cap 3%, floor 0%</t>
    </r>
  </si>
  <si>
    <r>
      <rPr>
        <b/>
        <sz val="10"/>
        <color theme="1"/>
        <rFont val="Arial"/>
      </rPr>
      <t>Manual Assessment</t>
    </r>
    <r>
      <rPr>
        <sz val="10"/>
        <color theme="1"/>
        <rFont val="Arial"/>
      </rPr>
      <t xml:space="preserve">
Numeric value correct.
Context (currency + per year) implied.
Exact economic match.</t>
    </r>
  </si>
  <si>
    <r>
      <rPr>
        <b/>
        <sz val="10"/>
        <color theme="1"/>
        <rFont val="Arial"/>
      </rPr>
      <t>Ground Truth (PEC)</t>
    </r>
    <r>
      <rPr>
        <sz val="10"/>
        <color theme="1"/>
        <rFont val="Arial"/>
      </rPr>
      <t xml:space="preserve">
SGD 100,000 per year
</t>
    </r>
    <r>
      <rPr>
        <b/>
        <sz val="10"/>
        <color theme="1"/>
        <rFont val="Arial"/>
      </rPr>
      <t>Extracted</t>
    </r>
    <r>
      <rPr>
        <sz val="10"/>
        <color theme="1"/>
        <rFont val="Arial"/>
      </rPr>
      <t xml:space="preserve">
100000</t>
    </r>
  </si>
  <si>
    <t>3
(100k rate, 80k rate, 6-month cap)</t>
  </si>
  <si>
    <t>STRUCTURAL_COLLAPSE</t>
  </si>
  <si>
    <r>
      <rPr>
        <b/>
        <sz val="10"/>
        <color theme="1"/>
        <rFont val="Arial"/>
      </rPr>
      <t>Manual Assessment</t>
    </r>
    <r>
      <rPr>
        <sz val="10"/>
        <color theme="1"/>
        <rFont val="Arial"/>
      </rPr>
      <t xml:space="preserve">
Extractor calculated:
80,000 × 180 days = 14,400,000
But:
Missed the 100,000 condensate rate
Converted time cap (6 months) into monetary cap
Ignored multi-rate structure
Ground truth expects rate structure + time cap, not computed total.
This is structural misunderstanding.
</t>
    </r>
    <r>
      <rPr>
        <b/>
        <sz val="10"/>
        <color theme="1"/>
        <rFont val="Arial"/>
      </rPr>
      <t>Issues</t>
    </r>
    <r>
      <rPr>
        <sz val="10"/>
        <color theme="1"/>
        <rFont val="Arial"/>
      </rPr>
      <t xml:space="preserve">
Collapsed rate structure into single monetary number.
Missed condensate rate entirely.
Converted time cap into derived value.
Model converted rate × duration into derived total instead of extracting clause terms</t>
    </r>
  </si>
  <si>
    <r>
      <rPr>
        <b/>
        <sz val="10"/>
        <color theme="1"/>
        <rFont val="Arial"/>
      </rPr>
      <t xml:space="preserve">Ground Truth (PEC)
</t>
    </r>
    <r>
      <rPr>
        <sz val="10"/>
        <color theme="1"/>
        <rFont val="Arial"/>
      </rPr>
      <t xml:space="preserve">Daily rate:
SGD 100,000 per day per condensate tank
SGD 80,000 per day per other product tank
Capped at 6 months
</t>
    </r>
    <r>
      <rPr>
        <b/>
        <sz val="10"/>
        <color theme="1"/>
        <rFont val="Arial"/>
      </rPr>
      <t>Extracted</t>
    </r>
    <r>
      <rPr>
        <sz val="10"/>
        <color theme="1"/>
        <rFont val="Arial"/>
      </rPr>
      <t xml:space="preserve">
14,400,000 (SGD)
Financial risk clause materially misrepresented</t>
    </r>
  </si>
  <si>
    <t>MULTI_VALUE_OMISSION</t>
  </si>
  <si>
    <r>
      <rPr>
        <b/>
        <sz val="10"/>
        <color theme="1"/>
        <rFont val="Arial"/>
      </rPr>
      <t>Manual Assessment</t>
    </r>
    <r>
      <rPr>
        <sz val="10"/>
        <color theme="1"/>
        <rFont val="Arial"/>
      </rPr>
      <t xml:space="preserve">
Captured only one rate.
Missed condensate tank rate (100,000).
Ground truth requires dual-rate structure.
Single float insufficient for this datapoint
</t>
    </r>
    <r>
      <rPr>
        <b/>
        <sz val="10"/>
        <color theme="1"/>
        <rFont val="Arial"/>
      </rPr>
      <t>Issues</t>
    </r>
    <r>
      <rPr>
        <sz val="10"/>
        <color theme="1"/>
        <rFont val="Arial"/>
      </rPr>
      <t xml:space="preserve">
Partial multi-product coverage.
Lost risk differentiation between tank types.
Schema limitation (float vs structured output).
Model selected dominant/general rate only</t>
    </r>
  </si>
  <si>
    <r>
      <rPr>
        <b/>
        <sz val="10"/>
        <color theme="1"/>
        <rFont val="Arial"/>
      </rPr>
      <t>Ground Truth (PEC)</t>
    </r>
    <r>
      <rPr>
        <sz val="10"/>
        <color theme="1"/>
        <rFont val="Arial"/>
      </rPr>
      <t xml:space="preserve">
SGD 100,000 per day per condensate tank
SGD 80,000 per day per other product tank
</t>
    </r>
    <r>
      <rPr>
        <b/>
        <sz val="10"/>
        <color theme="1"/>
        <rFont val="Arial"/>
      </rPr>
      <t>Extracted</t>
    </r>
    <r>
      <rPr>
        <sz val="10"/>
        <color theme="1"/>
        <rFont val="Arial"/>
      </rPr>
      <t xml:space="preserve">
80,000
Risk severity differs per tank type — material miss</t>
    </r>
  </si>
  <si>
    <t>NO</t>
  </si>
  <si>
    <r>
      <rPr>
        <b/>
        <sz val="10"/>
        <color theme="1"/>
        <rFont val="Arial"/>
      </rPr>
      <t>Manual Assessment</t>
    </r>
    <r>
      <rPr>
        <sz val="10"/>
        <color theme="1"/>
        <rFont val="Arial"/>
      </rPr>
      <t xml:space="preserve">
Contract term clearly defined in TSA.
Model reviewed document but did not retrieve correct section.
Likely section truncation / chunking issue.
Classic retrieval insufficiency.
</t>
    </r>
    <r>
      <rPr>
        <b/>
        <sz val="10"/>
        <color theme="1"/>
        <rFont val="Arial"/>
      </rPr>
      <t>Issues</t>
    </r>
    <r>
      <rPr>
        <sz val="10"/>
        <color theme="1"/>
        <rFont val="Arial"/>
      </rPr>
      <t xml:space="preserve">
Missed simple numeric clause.
Failure in document section coverage.
IG - Contract term section not included in top-k chunks</t>
    </r>
  </si>
  <si>
    <r>
      <rPr>
        <b/>
        <sz val="10"/>
        <color theme="1"/>
        <rFont val="Arial"/>
      </rPr>
      <t xml:space="preserve">Ground Truth (PEC)
</t>
    </r>
    <r>
      <rPr>
        <sz val="10"/>
        <color theme="1"/>
        <rFont val="Arial"/>
      </rPr>
      <t xml:space="preserve">25 years
</t>
    </r>
    <r>
      <rPr>
        <b/>
        <sz val="10"/>
        <color theme="1"/>
        <rFont val="Arial"/>
      </rPr>
      <t>Extracted</t>
    </r>
    <r>
      <rPr>
        <sz val="10"/>
        <color theme="1"/>
        <rFont val="Arial"/>
      </rPr>
      <t xml:space="preserve">
NOT_FOUND</t>
    </r>
  </si>
  <si>
    <r>
      <rPr>
        <b/>
        <sz val="10"/>
        <color theme="1"/>
        <rFont val="Arial"/>
      </rPr>
      <t>Ground Truth (PEC)</t>
    </r>
    <r>
      <rPr>
        <sz val="10"/>
        <color theme="1"/>
        <rFont val="Arial"/>
      </rPr>
      <t xml:space="preserve">
Not available
</t>
    </r>
    <r>
      <rPr>
        <b/>
        <sz val="10"/>
        <color theme="1"/>
        <rFont val="Arial"/>
      </rPr>
      <t>Extracted</t>
    </r>
    <r>
      <rPr>
        <sz val="10"/>
        <color theme="1"/>
        <rFont val="Arial"/>
      </rPr>
      <t xml:space="preserve">
NOT_FOUND</t>
    </r>
  </si>
  <si>
    <t>INTERPRETATION_OVERCOMPLICATION</t>
  </si>
  <si>
    <r>
      <rPr>
        <b/>
        <sz val="10"/>
        <color theme="1"/>
        <rFont val="Arial"/>
      </rPr>
      <t>Manual Assessment</t>
    </r>
    <r>
      <rPr>
        <sz val="10"/>
        <color theme="1"/>
        <rFont val="Arial"/>
      </rPr>
      <t xml:space="preserve">
Ground truth expects alignment with commencement.
Model attempted to compute procedural mechanics.
Missed simplified expected answer.
Over-analysis instead of clause extraction.
</t>
    </r>
    <r>
      <rPr>
        <b/>
        <sz val="10"/>
        <color theme="1"/>
        <rFont val="Arial"/>
      </rPr>
      <t>Issues</t>
    </r>
    <r>
      <rPr>
        <sz val="10"/>
        <color theme="1"/>
        <rFont val="Arial"/>
      </rPr>
      <t xml:space="preserve">
Overly analytical interpretation.
Missed direct answer phrasing.
Model tried to derive calendar year instead of aligning with commencement clause</t>
    </r>
  </si>
  <si>
    <r>
      <rPr>
        <b/>
        <sz val="10"/>
        <color theme="1"/>
        <rFont val="Arial"/>
      </rPr>
      <t xml:space="preserve">Ground Truth (PEC)
</t>
    </r>
    <r>
      <rPr>
        <sz val="10"/>
        <color theme="1"/>
        <rFont val="Arial"/>
      </rPr>
      <t xml:space="preserve">Aligned with commencement year
</t>
    </r>
    <r>
      <rPr>
        <b/>
        <sz val="10"/>
        <color theme="1"/>
        <rFont val="Arial"/>
      </rPr>
      <t>Extracted</t>
    </r>
    <r>
      <rPr>
        <sz val="10"/>
        <color theme="1"/>
        <rFont val="Arial"/>
      </rPr>
      <t xml:space="preserve">
NOT_FOUND
Simple alignment clause missed</t>
    </r>
  </si>
  <si>
    <t>ENTITY_RESOLUTION_ERROR</t>
  </si>
  <si>
    <r>
      <rPr>
        <b/>
        <sz val="10"/>
        <color theme="1"/>
        <rFont val="Arial"/>
      </rPr>
      <t>Manual Assessment</t>
    </r>
    <r>
      <rPr>
        <sz val="10"/>
        <color theme="1"/>
        <rFont val="Arial"/>
      </rPr>
      <t xml:space="preserve">
PITSB = operational entity in TSA.
Dialog Terminal = parent / terminal branding entity (PEC expected answer).
Extractor selected legal counterparty instead of branded handling entity.
Entity-level misalignment.
</t>
    </r>
    <r>
      <rPr>
        <b/>
        <sz val="10"/>
        <color theme="1"/>
        <rFont val="Arial"/>
      </rPr>
      <t>Issues</t>
    </r>
    <r>
      <rPr>
        <sz val="10"/>
        <color theme="1"/>
        <rFont val="Arial"/>
      </rPr>
      <t xml:space="preserve">
Entity resolution confusion.
Selected subsidiary instead of commercial name.
Model selected contractual entity rather than terminal operator brand</t>
    </r>
  </si>
  <si>
    <r>
      <rPr>
        <b/>
        <sz val="10"/>
        <color theme="1"/>
        <rFont val="Arial"/>
      </rPr>
      <t>Ground Truth (PEC)</t>
    </r>
    <r>
      <rPr>
        <sz val="10"/>
        <color theme="1"/>
        <rFont val="Arial"/>
      </rPr>
      <t xml:space="preserve">
Dialog Terminal
</t>
    </r>
    <r>
      <rPr>
        <b/>
        <sz val="10"/>
        <color theme="1"/>
        <rFont val="Arial"/>
      </rPr>
      <t>Extracted</t>
    </r>
    <r>
      <rPr>
        <sz val="10"/>
        <color theme="1"/>
        <rFont val="Arial"/>
      </rPr>
      <t xml:space="preserve">
PITSB
Corporate structure mapping needed</t>
    </r>
  </si>
  <si>
    <r>
      <rPr>
        <b/>
        <sz val="10"/>
        <color theme="1"/>
        <rFont val="Arial"/>
      </rPr>
      <t>Manual Assessment</t>
    </r>
    <r>
      <rPr>
        <sz val="10"/>
        <color theme="1"/>
        <rFont val="Arial"/>
      </rPr>
      <t xml:space="preserve">
Clause exists in TSA (overall liability cap).
Extractor located liability section but did not retrieve cap value.
Likely chunk truncation of Clause 28.1.5.
Clear retrieval failure.
</t>
    </r>
    <r>
      <rPr>
        <b/>
        <sz val="10"/>
        <color theme="1"/>
        <rFont val="Arial"/>
      </rPr>
      <t>Issues</t>
    </r>
    <r>
      <rPr>
        <sz val="10"/>
        <color theme="1"/>
        <rFont val="Arial"/>
      </rPr>
      <t xml:space="preserve">
Missed clearly defined monetary cap.
Retrieved clause reference but not numeric value
Cap value outside retrieved chunk window</t>
    </r>
  </si>
  <si>
    <r>
      <rPr>
        <b/>
        <sz val="10"/>
        <color theme="1"/>
        <rFont val="Arial"/>
      </rPr>
      <t>Ground Truth (PEC)</t>
    </r>
    <r>
      <rPr>
        <sz val="10"/>
        <color theme="1"/>
        <rFont val="Arial"/>
      </rPr>
      <t xml:space="preserve">
SGD 3M per year
</t>
    </r>
    <r>
      <rPr>
        <b/>
        <sz val="10"/>
        <color theme="1"/>
        <rFont val="Arial"/>
      </rPr>
      <t>Extracted</t>
    </r>
    <r>
      <rPr>
        <sz val="10"/>
        <color theme="1"/>
        <rFont val="Arial"/>
      </rPr>
      <t xml:space="preserve">
NOT_FOUND
Liability cap is major risk control term</t>
    </r>
  </si>
  <si>
    <t>To get the sum across the two contracts. 
 (not so easy, we need conversion of units before addition)</t>
  </si>
  <si>
    <t>DERIVATION_NOT_PERFORMED</t>
  </si>
  <si>
    <t>Post-Processing / Computation Layer</t>
  </si>
  <si>
    <r>
      <rPr>
        <b/>
        <sz val="10"/>
        <color theme="1"/>
        <rFont val="Arial"/>
      </rPr>
      <t>Manual Assessment</t>
    </r>
    <r>
      <rPr>
        <sz val="10"/>
        <color theme="1"/>
        <rFont val="Arial"/>
      </rPr>
      <t xml:space="preserve">
Correct raw quantities extracted.
Did NOT:
Convert units
Sum across suppliers
Produce final float baseline
Extraction correct.
Computation incomplete.
</t>
    </r>
    <r>
      <rPr>
        <b/>
        <sz val="10"/>
        <color theme="1"/>
        <rFont val="Arial"/>
      </rPr>
      <t>Issues</t>
    </r>
    <r>
      <rPr>
        <sz val="10"/>
        <color theme="1"/>
        <rFont val="Arial"/>
      </rPr>
      <t xml:space="preserve">
Missing aggregation step.
No unit harmonization.
Model not configured to perform cross-unit summation</t>
    </r>
  </si>
  <si>
    <r>
      <rPr>
        <b/>
        <sz val="10"/>
        <color theme="1"/>
        <rFont val="Arial"/>
      </rPr>
      <t>Ground Truth (PEC)</t>
    </r>
    <r>
      <rPr>
        <sz val="10"/>
        <color theme="1"/>
        <rFont val="Arial"/>
      </rPr>
      <t xml:space="preserve">
Requires aggregation across contracts
Unit conversion required before summation
</t>
    </r>
    <r>
      <rPr>
        <b/>
        <sz val="10"/>
        <color theme="1"/>
        <rFont val="Arial"/>
      </rPr>
      <t>Extracted</t>
    </r>
    <r>
      <rPr>
        <sz val="10"/>
        <color theme="1"/>
        <rFont val="Arial"/>
      </rPr>
      <t xml:space="preserve">
Condensate: 30 million barrels
Full Range Naphtha: 170 KT
Financial baseline incomplete</t>
    </r>
  </si>
  <si>
    <t>Apr 2026 - Dec 2029:
 C_Cons Sheet, F113 Total Capex = 3,765,250,000 
 Jan 2030 onwards:
 Project Finance Model, C_Ops Sheet, Row 773 Total Fixed Cost, ALL</t>
  </si>
  <si>
    <r>
      <rPr>
        <b/>
        <sz val="10"/>
        <color theme="1"/>
        <rFont val="Arial"/>
      </rPr>
      <t>Manual Assessment</t>
    </r>
    <r>
      <rPr>
        <sz val="10"/>
        <color theme="1"/>
        <rFont val="Arial"/>
      </rPr>
      <t xml:space="preserve">
Extractor identified components but failed to pull:
Construction phase total
Ops total fixed cost line
Sheet navigation failure.
Model got stuck at line items instead of total row.
</t>
    </r>
    <r>
      <rPr>
        <b/>
        <sz val="10"/>
        <color theme="1"/>
        <rFont val="Arial"/>
      </rPr>
      <t>Issues</t>
    </r>
    <r>
      <rPr>
        <sz val="10"/>
        <color theme="1"/>
        <rFont val="Arial"/>
      </rPr>
      <t xml:space="preserve">
Wrong row selection.
Aggregation failure.
Missed clearly labeled total row..
Model retrieved category section but not summary row</t>
    </r>
  </si>
  <si>
    <r>
      <rPr>
        <b/>
        <sz val="10"/>
        <color theme="1"/>
        <rFont val="Arial"/>
      </rPr>
      <t>Ground Truth (PEC)</t>
    </r>
    <r>
      <rPr>
        <sz val="10"/>
        <color theme="1"/>
        <rFont val="Arial"/>
      </rPr>
      <t xml:space="preserve">
Construction phase: 3,765,250,000
Operations phase: Row 773 (C_Ops sheet)
</t>
    </r>
    <r>
      <rPr>
        <b/>
        <sz val="10"/>
        <color theme="1"/>
        <rFont val="Arial"/>
      </rPr>
      <t>Extracted</t>
    </r>
    <r>
      <rPr>
        <sz val="10"/>
        <color theme="1"/>
        <rFont val="Arial"/>
      </rPr>
      <t xml:space="preserve">
NOT_FOUND
Direct financial model failure</t>
    </r>
  </si>
  <si>
    <r>
      <rPr>
        <b/>
        <sz val="10"/>
        <color theme="1"/>
        <rFont val="Arial"/>
      </rPr>
      <t>Manual Assessment</t>
    </r>
    <r>
      <rPr>
        <sz val="10"/>
        <color theme="1"/>
        <rFont val="Arial"/>
      </rPr>
      <t xml:space="preserve">
Extractor pulled financial model USD-converted annual number.
Ground truth expects TSA monthly SGD number.
Wrong source selection.
Currency mismatch.
Time-basis mismatch.
</t>
    </r>
    <r>
      <rPr>
        <b/>
        <sz val="10"/>
        <color theme="1"/>
        <rFont val="Arial"/>
      </rPr>
      <t>Issues</t>
    </r>
    <r>
      <rPr>
        <sz val="10"/>
        <color theme="1"/>
        <rFont val="Arial"/>
      </rPr>
      <t xml:space="preserve">
Wrong document source (model vs TSA).
Currency conversion distortion.
Annual vs monthly mismatch.
Model prioritized financial model over contractual source</t>
    </r>
  </si>
  <si>
    <r>
      <rPr>
        <b/>
        <sz val="10"/>
        <color theme="1"/>
        <rFont val="Arial"/>
      </rPr>
      <t>Ground Truth (PEC)</t>
    </r>
    <r>
      <rPr>
        <sz val="10"/>
        <color theme="1"/>
        <rFont val="Arial"/>
      </rPr>
      <t xml:space="preserve">
SGD 10,809,637 monthly
</t>
    </r>
    <r>
      <rPr>
        <b/>
        <sz val="10"/>
        <color theme="1"/>
        <rFont val="Arial"/>
      </rPr>
      <t>Extracted</t>
    </r>
    <r>
      <rPr>
        <sz val="10"/>
        <color theme="1"/>
        <rFont val="Arial"/>
      </rPr>
      <t xml:space="preserve">
118,242.5 (USDk per year)
Contractual vs modeled value confusion</t>
    </r>
  </si>
  <si>
    <t>OVER_SPECIFICATION</t>
  </si>
  <si>
    <r>
      <rPr>
        <b/>
        <sz val="10"/>
        <color theme="1"/>
        <rFont val="Arial"/>
      </rPr>
      <t>Manual Assessment</t>
    </r>
    <r>
      <rPr>
        <sz val="10"/>
        <color theme="1"/>
        <rFont val="Arial"/>
      </rPr>
      <t xml:space="preserve">
Correct categories identified.
Extractor over-expanded into grade-level details.
Economically correct.
Schema expects simple list.
</t>
    </r>
    <r>
      <rPr>
        <b/>
        <sz val="10"/>
        <color theme="1"/>
        <rFont val="Arial"/>
      </rPr>
      <t xml:space="preserve">Issues:
</t>
    </r>
    <r>
      <rPr>
        <sz val="10"/>
        <color theme="1"/>
        <rFont val="Arial"/>
      </rPr>
      <t>Over-detailed output.
Schema misalignment.
Model expanded nested grade information</t>
    </r>
  </si>
  <si>
    <r>
      <rPr>
        <b/>
        <sz val="10"/>
        <color theme="1"/>
        <rFont val="Arial"/>
      </rPr>
      <t>Ground Truth (PEC)</t>
    </r>
    <r>
      <rPr>
        <sz val="10"/>
        <color theme="1"/>
        <rFont val="Arial"/>
      </rPr>
      <t xml:space="preserve">
Condensate
Naphtha
</t>
    </r>
    <r>
      <rPr>
        <b/>
        <sz val="10"/>
        <color theme="1"/>
        <rFont val="Arial"/>
      </rPr>
      <t>Extracted</t>
    </r>
    <r>
      <rPr>
        <sz val="10"/>
        <color theme="1"/>
        <rFont val="Arial"/>
      </rPr>
      <t xml:space="preserve">
Condensate (expanded grades list)
Full Range Naphtha (with quality specs)
Semantically correct</t>
    </r>
  </si>
  <si>
    <t>1. per project
 2. per scenario</t>
  </si>
  <si>
    <t>Project Finance Model, C_Output Sheet, Row 22, Columns EO:EZ (Jan 2030 - Dec 2030) = 5,415,615,000</t>
  </si>
  <si>
    <t>UNIT_NORMALIZATION</t>
  </si>
  <si>
    <r>
      <rPr>
        <b/>
        <sz val="10"/>
        <color theme="1"/>
        <rFont val="Arial"/>
      </rPr>
      <t>Manual Assessment</t>
    </r>
    <r>
      <rPr>
        <sz val="10"/>
        <color theme="1"/>
        <rFont val="Arial"/>
      </rPr>
      <t xml:space="preserve">
Correct magnitude.
Unit difference (USDk vs USD).
Minor rounding.
Economically aligned.
</t>
    </r>
    <r>
      <rPr>
        <b/>
        <sz val="10"/>
        <color theme="1"/>
        <rFont val="Arial"/>
      </rPr>
      <t>Issues</t>
    </r>
    <r>
      <rPr>
        <sz val="10"/>
        <color theme="1"/>
        <rFont val="Arial"/>
      </rPr>
      <t xml:space="preserve">
Unit normalization required.
Model outputs in USDk</t>
    </r>
  </si>
  <si>
    <t>Ground Truth (PEC)
5,415,615,000
Extracted
5,415,614.704 (USDk)</t>
  </si>
  <si>
    <t>Project Finance Model, C_Ops Sheet, Row 607 (Total feedstock cost excluding Working capital charges) EO:EZ = 3,559,763,000</t>
  </si>
  <si>
    <r>
      <rPr>
        <b/>
        <sz val="10"/>
        <color theme="1"/>
        <rFont val="Arial"/>
      </rPr>
      <t>Manual Assessment</t>
    </r>
    <r>
      <rPr>
        <sz val="10"/>
        <color theme="1"/>
        <rFont val="Arial"/>
      </rPr>
      <t xml:space="preserve">
Wrong row selected
Sign inversion.
Magnitude mismatch.
Pulled total feedstock cost instead of defined COGS row.
</t>
    </r>
    <r>
      <rPr>
        <b/>
        <sz val="10"/>
        <color theme="1"/>
        <rFont val="Arial"/>
      </rPr>
      <t>Issues</t>
    </r>
    <r>
      <rPr>
        <sz val="10"/>
        <color theme="1"/>
        <rFont val="Arial"/>
      </rPr>
      <t xml:space="preserve">
Wrong metric selection.
Negative sign distortion.
Confused feedstock cost with defined COGS</t>
    </r>
  </si>
  <si>
    <t>Ground Truth (PEC)
3,559,763,000
Extracted
-4,393,429.426 (USDk)
Operating margin impact</t>
  </si>
  <si>
    <t>Project Finance Model, C_Output Sheet, Row 39 (Total Variable Cost) EO:EZ + Row 51 (Total Fixed Cost) EO:EZ = 262,359,000</t>
  </si>
  <si>
    <t>SIGN_NORMALIZATION</t>
  </si>
  <si>
    <r>
      <rPr>
        <b/>
        <sz val="10"/>
        <color theme="1"/>
        <rFont val="Arial"/>
      </rPr>
      <t>Manual Assessment</t>
    </r>
    <r>
      <rPr>
        <sz val="10"/>
        <color theme="1"/>
        <rFont val="Arial"/>
      </rPr>
      <t xml:space="preserve">
Correct magnitude.
Negative sign (accounting format).
Minor rounding.
</t>
    </r>
    <r>
      <rPr>
        <b/>
        <sz val="10"/>
        <color theme="1"/>
        <rFont val="Arial"/>
      </rPr>
      <t>Issues</t>
    </r>
    <r>
      <rPr>
        <sz val="10"/>
        <color theme="1"/>
        <rFont val="Arial"/>
      </rPr>
      <t xml:space="preserve">
Sign normalization required.
Accounting format negative cost</t>
    </r>
  </si>
  <si>
    <t>Ground Truth (PEC)
262,359,000
Extracted
-262,358.7205 (USDk)
Numerically aligned</t>
  </si>
  <si>
    <t>Project Finance Model, tab C_Fin, Sum of Cells Row 78 CU:DF,
 Ans: 3,621,862,000</t>
  </si>
  <si>
    <r>
      <rPr>
        <b/>
        <sz val="10"/>
        <color theme="1"/>
        <rFont val="Arial"/>
      </rPr>
      <t>Manual Assessment</t>
    </r>
    <r>
      <rPr>
        <sz val="10"/>
        <color theme="1"/>
        <rFont val="Arial"/>
      </rPr>
      <t xml:space="preserve">
Severely wrong magnitude.
Wrong tab selected (Output_Annual vs C_Fin sum).
Major financial metric failure.
</t>
    </r>
    <r>
      <rPr>
        <b/>
        <sz val="10"/>
        <color theme="1"/>
        <rFont val="Arial"/>
      </rPr>
      <t>Issues</t>
    </r>
    <r>
      <rPr>
        <sz val="10"/>
        <color theme="1"/>
        <rFont val="Arial"/>
      </rPr>
      <t xml:space="preserve">
Wrong sheet selection.
Missed required sum across cells.
Model defaulted to visible CFADS row instead of required aggregation</t>
    </r>
  </si>
  <si>
    <t>Ground Truth (PEC)
3,621,862,000
Extracted
580,951.2832 (USDk)
Debt service risk miscalculated</t>
  </si>
  <si>
    <t>Project Finance Model, C_Output Sheet, Row 54 (EBIT) EO:EZ / Row 22 (Total Revenue) EO:EZ = 489,281,000/4,631,081,000 = 10.57%</t>
  </si>
  <si>
    <t>FORMULA_MISAPPLICATION</t>
  </si>
  <si>
    <r>
      <rPr>
        <b/>
        <sz val="10"/>
        <color theme="1"/>
        <rFont val="Arial"/>
      </rPr>
      <t>Manual Assessment</t>
    </r>
    <r>
      <rPr>
        <sz val="10"/>
        <color theme="1"/>
        <rFont val="Arial"/>
      </rPr>
      <t xml:space="preserve">
Different EBIT and revenue rows used.
Wrong denominator selection.
Calculation inconsistency.
</t>
    </r>
    <r>
      <rPr>
        <b/>
        <sz val="10"/>
        <color theme="1"/>
        <rFont val="Arial"/>
      </rPr>
      <t>Issues</t>
    </r>
    <r>
      <rPr>
        <sz val="10"/>
        <color theme="1"/>
        <rFont val="Arial"/>
      </rPr>
      <t xml:space="preserve">
Formula mismatch.
Wrong source rows.
Model used Output_Annual instead of C_Output rows specified</t>
    </r>
  </si>
  <si>
    <t>Ground Truth (PEC)
10.57%
Extracted
8.76%
Margin materially understated</t>
  </si>
  <si>
    <t>1952873.941 (in k, USD)</t>
  </si>
  <si>
    <t>TIME_SCOPE_ERROR</t>
  </si>
  <si>
    <r>
      <rPr>
        <b/>
        <sz val="10"/>
        <color theme="1"/>
        <rFont val="Arial"/>
      </rPr>
      <t>Manual Assessment</t>
    </r>
    <r>
      <rPr>
        <sz val="10"/>
        <color theme="1"/>
        <rFont val="Arial"/>
      </rPr>
      <t xml:space="preserve">
Wrong time horizon used (2030–2045 average).
Expected defined revenue metric.
Aggregation scope mismatch.
Issues
Time window misinterpretation.
Model averaged all years instead of defined period</t>
    </r>
  </si>
  <si>
    <t>Ground Truth (PEC)
1,952,873.941 (USDk)
Extracted
7,077,786.9 (USDk)
Valuation distortion risk</t>
  </si>
  <si>
    <t>From Project Finance Model - ScenarioInputs, F583 Coupon (under Subordinated Debt) = 11.5%</t>
  </si>
  <si>
    <t>FORMAT_NORMALIZATION</t>
  </si>
  <si>
    <r>
      <rPr>
        <b/>
        <sz val="10"/>
        <color theme="1"/>
        <rFont val="Arial"/>
      </rPr>
      <t>Manual Assessment</t>
    </r>
    <r>
      <rPr>
        <sz val="10"/>
        <color theme="1"/>
        <rFont val="Arial"/>
      </rPr>
      <t xml:space="preserve">
Correct value in decimal format.
Minor formatting difference.
Issues
Percent vs decimal representation.
Decimal representation</t>
    </r>
  </si>
  <si>
    <t>Ground Truth (PEC)
11.5%
Extracted
0.115
Correct economically</t>
  </si>
  <si>
    <t>Ground Truth (PEC)
2
Extracted
2</t>
  </si>
  <si>
    <t>Field</t>
  </si>
  <si>
    <t>Batch Range</t>
  </si>
  <si>
    <t>Total Datapoints Evaluated</t>
  </si>
  <si>
    <t>Evaluation Date</t>
  </si>
  <si>
    <t>Evaluated By</t>
  </si>
  <si>
    <t>Model Version</t>
  </si>
  <si>
    <t>Retrieval Version</t>
  </si>
  <si>
    <t>Primary Error Distribution</t>
  </si>
  <si>
    <t>Error Type</t>
  </si>
  <si>
    <t>Count</t>
  </si>
  <si>
    <t>% of Total</t>
  </si>
  <si>
    <t>Severity Level</t>
  </si>
  <si>
    <t>TOTAL</t>
  </si>
  <si>
    <t>Severity Aggregation</t>
  </si>
  <si>
    <t>%</t>
  </si>
  <si>
    <t>No Error</t>
  </si>
  <si>
    <t>Dominant Risk Ranking</t>
  </si>
  <si>
    <t>Rank</t>
  </si>
  <si>
    <t>Failure Class</t>
  </si>
  <si>
    <t>Risk Impact</t>
  </si>
  <si>
    <t>Frequency</t>
  </si>
  <si>
    <t>Systemic? (Y/N)</t>
  </si>
  <si>
    <t>Retrieval Filtering</t>
  </si>
  <si>
    <t>Retrieval + Semantic</t>
  </si>
  <si>
    <t>No</t>
  </si>
  <si>
    <t>Prompt Layer</t>
  </si>
  <si>
    <t>Retrieval Recall</t>
  </si>
  <si>
    <t>Layer-Level Failure Mapping</t>
  </si>
  <si>
    <t>Pipeline Layer</t>
  </si>
  <si>
    <t>Root Cause</t>
  </si>
  <si>
    <t>Structural? (Y/N)</t>
  </si>
  <si>
    <t>No deterministic entity constraint</t>
  </si>
  <si>
    <t>No clause-type disambiguation</t>
  </si>
  <si>
    <t>Extraction Prompt</t>
  </si>
  <si>
    <t>Weak scope control</t>
  </si>
  <si>
    <t>No dimension enforcement</t>
  </si>
  <si>
    <t>Missed context chunks</t>
  </si>
  <si>
    <t>Accuracy Snapshot</t>
  </si>
  <si>
    <t>Acceptable (Noisy) %</t>
  </si>
  <si>
    <t>Dangerous Error %</t>
  </si>
  <si>
    <t>Retrieval Recall Failure %</t>
  </si>
  <si>
    <t>Systemic Risk Flags</t>
  </si>
  <si>
    <t>Systemic Issue</t>
  </si>
  <si>
    <t>Present in This Batch?</t>
  </si>
  <si>
    <t>No Deterministic Entity Guardrail</t>
  </si>
  <si>
    <t>No Clause-Type Disambiguation</t>
  </si>
  <si>
    <t>Weak Dimension Enforcement</t>
  </si>
  <si>
    <t>Embedding Recall Failure</t>
  </si>
  <si>
    <t>Minor</t>
  </si>
  <si>
    <t>Fix Priority Tracker</t>
  </si>
  <si>
    <t>Fix</t>
  </si>
  <si>
    <t>Expected Impact</t>
  </si>
  <si>
    <t>Implementation Complexity</t>
  </si>
  <si>
    <t>Status</t>
  </si>
  <si>
    <t>Deterministic Entity Filter</t>
  </si>
  <si>
    <t>Pending</t>
  </si>
  <si>
    <t>Structured JSON Output Enforcement</t>
  </si>
  <si>
    <t>Clause-Type Guardrail Instruction</t>
  </si>
  <si>
    <t>Magnitude Sanity Check</t>
  </si>
  <si>
    <t>Counterparty Risk</t>
  </si>
  <si>
    <t>Contractual Miss Risk</t>
  </si>
  <si>
    <t>Partial Contract Risk</t>
  </si>
  <si>
    <t>Legal Exposure Risk</t>
  </si>
  <si>
    <t>Structural Data Risk</t>
  </si>
  <si>
    <t>Extraction / Reasoning</t>
  </si>
  <si>
    <t>Technical Misalignment</t>
  </si>
  <si>
    <t>Noise / Over-Extraction</t>
  </si>
  <si>
    <t>Not all contracts retrieved</t>
  </si>
  <si>
    <t>Key clauses not ranked in top-k</t>
  </si>
  <si>
    <t>Partial multi-contract retrieval</t>
  </si>
  <si>
    <t>Wrong clause selected within correct document</t>
  </si>
  <si>
    <t>Unit vs product-level confusion</t>
  </si>
  <si>
    <t>Failed to convert lists into numeric counts</t>
  </si>
  <si>
    <t>Over-dimensioned extraction allowed</t>
  </si>
  <si>
    <t>Extraction Interpretation</t>
  </si>
  <si>
    <t>Answered related but wrong question</t>
  </si>
  <si>
    <t>No Multi-Contract Retrieval Guarantee</t>
  </si>
  <si>
    <t>No Clause-Type Disambiguation Guardrail</t>
  </si>
  <si>
    <t>No Counterparty Enumeration Enforcement</t>
  </si>
  <si>
    <t>Weak Dimensional Control (Unit vs Product)</t>
  </si>
  <si>
    <t>No Derived Count Enforcement</t>
  </si>
  <si>
    <t>Prompt Scope Inflation</t>
  </si>
  <si>
    <t>Moderate</t>
  </si>
  <si>
    <t>Multi-Contract Retrieval Enforcement</t>
  </si>
  <si>
    <t>Entity Enumeration Completion Check</t>
  </si>
  <si>
    <t>Clause-Type Disambiguation Guardrail</t>
  </si>
  <si>
    <t>Structured Derived-Field Enforcement</t>
  </si>
  <si>
    <t>Dimensional Schema Constraint (Unit vs Product)</t>
  </si>
  <si>
    <t>Scope Limiting Prompt Rules</t>
  </si>
  <si>
    <t>Financial &amp; Contractual Blind Spots</t>
  </si>
  <si>
    <t>Credit Modeling Distortion</t>
  </si>
  <si>
    <t>Simple Clause Miss Risk</t>
  </si>
  <si>
    <t>Structural Risk Misrepresentation</t>
  </si>
  <si>
    <t>Capex Size Distortion</t>
  </si>
  <si>
    <t>Financial Ratio Miscalculation</t>
  </si>
  <si>
    <t>Liquidated Damages Misrepresentation</t>
  </si>
  <si>
    <t>Capacity Inflation Risk</t>
  </si>
  <si>
    <t>Top-k chunk truncation / section miss</t>
  </si>
  <si>
    <t>Incorrect financial model sheet navigation</t>
  </si>
  <si>
    <t>Financial line item recognition failure</t>
  </si>
  <si>
    <t>Latest-year bias</t>
  </si>
  <si>
    <t>Schema unable to handle structured outputs</t>
  </si>
  <si>
    <t>Derived EBIT vs PBT confusion</t>
  </si>
  <si>
    <t>Converted rate clause into computed total</t>
  </si>
  <si>
    <t>KMTA misinterpreted as absolute tonnage</t>
  </si>
  <si>
    <t>Legal entity vs brand confusion</t>
  </si>
  <si>
    <t>Over-decomposition of formula</t>
  </si>
  <si>
    <t>Retrieval Failure %</t>
  </si>
  <si>
    <t>Extraction Failure %</t>
  </si>
  <si>
    <t>Temporal Coverage Failure %</t>
  </si>
  <si>
    <t>Present in Batch?</t>
  </si>
  <si>
    <t>Financial Statement Line-Item Recognition Failure</t>
  </si>
  <si>
    <t>Multi-Year Financial Dimension Ignored</t>
  </si>
  <si>
    <t>Structured Clause Collapse (LD &amp; Rates)</t>
  </si>
  <si>
    <t>Financial Model Navigation Weakness</t>
  </si>
  <si>
    <t>Unit Scaling Misinterpretation (KMTA)</t>
  </si>
  <si>
    <t>Entity Resolution Inconsistency</t>
  </si>
  <si>
    <t>Formula Decomposition Drift</t>
  </si>
  <si>
    <t>Structured Clause Extraction (rate + cap separation)</t>
  </si>
  <si>
    <t>Financial Model Sheet Selection Guardrail</t>
  </si>
  <si>
    <t>Metric Lock (Use PBT proxy, not derived EBIT)</t>
  </si>
  <si>
    <t>Unit Normalization Layer (KMTA protection rule)</t>
  </si>
  <si>
    <t>Entity Resolution Mapping (Brand vs Legal)</t>
  </si>
  <si>
    <t>Prompt Constraint on Formula Structuring</t>
  </si>
  <si>
    <t>Major Financial Metric Distortion</t>
  </si>
  <si>
    <t>Margin &amp; COGS Miscalculation</t>
  </si>
  <si>
    <t>Margin Understatement Risk</t>
  </si>
  <si>
    <t>Valuation Misrepresentation</t>
  </si>
  <si>
    <t>Baseline Aggregation Gap</t>
  </si>
  <si>
    <t>Model defaulted to visible sheet instead of defined sheet</t>
  </si>
  <si>
    <t>Chunk window truncation</t>
  </si>
  <si>
    <t>Incorrect metric row selected</t>
  </si>
  <si>
    <t>Incorrect numerator/denominator pairing</t>
  </si>
  <si>
    <t>Wrong averaging period applied</t>
  </si>
  <si>
    <t>Cross-unit aggregation not executed</t>
  </si>
  <si>
    <t>Acceptable %</t>
  </si>
  <si>
    <t>Computation Failure %</t>
  </si>
  <si>
    <t>Model Navigation Failure %</t>
  </si>
  <si>
    <t>Financial Model Sheet Navigation Instability</t>
  </si>
  <si>
    <t>Row-Level Metric Selection Confusion</t>
  </si>
  <si>
    <t>Computation Layer Formula Inconsistency</t>
  </si>
  <si>
    <t>Time-Horizon Misinterpretation</t>
  </si>
  <si>
    <t>Cross-Unit Aggregation Gap</t>
  </si>
  <si>
    <t>Hard Sheet-Locking Rule (explicit tab enforcement)</t>
  </si>
  <si>
    <t>Row-ID Anchoring Mechanism</t>
  </si>
  <si>
    <t>Financial Metric Dictionary (COGS, EBIT, CFADS mapping)</t>
  </si>
  <si>
    <t>Time-Scope Constraint Rule</t>
  </si>
  <si>
    <t>Cross-Unit Aggregation Engine</t>
  </si>
  <si>
    <t>Sign &amp; Unit Normalization Layer</t>
  </si>
  <si>
    <t>Primitive/Derived</t>
  </si>
  <si>
    <t>Completeness</t>
  </si>
  <si>
    <t>Accuracy Status</t>
  </si>
  <si>
    <t>PRIMITIVE</t>
  </si>
  <si>
    <t>Partial Multi-Value</t>
  </si>
  <si>
    <t>Partial Dimension</t>
  </si>
  <si>
    <t>The model saw a combined total and assumed that was enough. It didn’t realize it needed to list each feedstock separately.</t>
  </si>
  <si>
    <t>Only the combined 10.3M m³ value was extracted. It missed the separate values for condensate (9,840,000) and LPG (554,268). The unit is correct, but the breakdown is incomplete.</t>
  </si>
  <si>
    <t>Over-Extraction</t>
  </si>
  <si>
    <t>Over Extraction</t>
  </si>
  <si>
    <t>The model pulled extra information from the document instead of sticking only to what this specific field required.</t>
  </si>
  <si>
    <t>It correctly extracted “m³,” but also added “metric ton (for LPG),” which wasn’t required for this datapoint. The extra detail caused a mismatch with PEC.</t>
  </si>
  <si>
    <t>Exact Match</t>
  </si>
  <si>
    <t>No issue — extraction worked correctly.</t>
  </si>
  <si>
    <t>Extracted value 2030-01-01 is identical to PEC ground truth (1/1/2030). 
Source reference correctly points to Dashboard G21 and Section 2.1. Date format difference (YYYY-MM-DD vs M/D/YYYY) is irrelevant – both represent the same day. 
Perfect extraction.</t>
  </si>
  <si>
    <t>DERIVED</t>
  </si>
  <si>
    <t>Wrong Entity</t>
  </si>
  <si>
    <t>The model confused the parent company with its subsidiary and pulled numbers from the wrong company.</t>
  </si>
  <si>
    <t>It extracted ~301 million CNY from a subsidiary instead of ~64–69 billion CNY from the parent company. The numbers are off by a huge margin. This is a serious financial accuracy issue.</t>
  </si>
  <si>
    <t>Again, the model used financial data from the subsidiary instead of the parent company.</t>
  </si>
  <si>
    <t>Extracted ~1.38 billion CNY from the subsidiary. PEC expects ~169–175 billion CNY from the parent. Same entity confusion as above. Major impact on financial assessment.</t>
  </si>
  <si>
    <t>The model mixed data from both the subsidiary and parent company instead of consistently using the parent.</t>
  </si>
  <si>
    <t>2023 number came from the subsidiary, 2024 from the parent. PEC expects only parent data. This inconsistency makes the result unreliable.</t>
  </si>
  <si>
    <t>Not Available in Docs</t>
  </si>
  <si>
    <t>No issue — the data genuinely doesn’t exist.</t>
  </si>
  <si>
    <t>PEC says no record exists. The model correctly returned NOT_FOUND and did not make up numbers. Good handling.</t>
  </si>
  <si>
    <t>The model again confused the subsidiary and the parent company and mixed data between them.</t>
  </si>
  <si>
    <t>Extracted: 2023 = 1,188,938.16 CNY (subsidiary, off by orders of magnitude), 2024 = 37,916,600,218.18 CNY (parent, plausible but unverified against incomplete PEC), 2022 = NOT_FOUND (correct). 
PEC ground truth (all parent CNCC): 2022 = not available, 2023 = 1,383,569,761.23 CNY, 2024 = partial/incomplete in PEC (starts with 62,). 
Consistent entity confusion pattern across EPCC financials datapoints; 2023 value wrong by factor of ~1,000×. Critical credit-risk metric.</t>
  </si>
  <si>
    <t>N/A – Exact numerical match on available years; 2022 correctly marked NOT_FOUND</t>
  </si>
  <si>
    <t>Extracted: 2023 = 1,383,569,761.23 CNY, 2024 = 233,421,377,309.40 CNY, 2022 = NOT_FOUND. 
Values match PEC ground truth exactly where available (2022 = not available, 2023 from 47.11.6.2 2023.pdf pg6, 2024 from 47.11.6.3 2024.pdf pg9). Entity confusion in extraction notes (mixing subsidiary vs parent) does not affect numerical accuracy here. Rare clean extraction among EPCC financials datapoints.</t>
  </si>
  <si>
    <t>No issue — extracted correctly.</t>
  </si>
  <si>
    <t>Extracted value = 45 (months) matches PEC ground truth exactly (Dashboard G19 = 45 months). 
Source reference correctly points to Section 2.1 General Timing in the financial model.
45 months matches PEC exactly. Source reference is correct. Clean result.</t>
  </si>
  <si>
    <t xml:space="preserve">Extracted value 2026-04-01 matches PEC ground truth exactly (Dashboard G18 = 4/1/2026). 
Source reference correctly cites Section 2.1 General Timing and Dashboard Milestones. Extraction note adds helpful context (development activates May 2026, first full month) without errors. Date format difference (YYYY-MM-DD vs M/D/YYYY) is irrelevant – same date. </t>
  </si>
  <si>
    <t>No issue — the data does not exist in fixed form.</t>
  </si>
  <si>
    <t>PEC ground truth: "No answer" for both Shell and Equinor (no fixed baseline price exists). 
Extraction correctly returns NOT_FOUND with detailed explanation: pricing is formula-based (floating benchmark + premium/discount per cargo) rather than a single agreed fixed unit price. 
Matches PEC perfectly – no value should be invented. Clean handling of genuinely unavailable primitive data across 2 suppliers/contracts.</t>
  </si>
  <si>
    <t>The model pulled buyer names from multiple contracts instead of only the specific file required.</t>
  </si>
  <si>
    <t>PEC ground truth specifies only "Pengerang Energy Complex Sdn Bhd" from the single named file (pg 1 of 47.2.1.1.1 Shell Commercial Term Sheet). 
Extraction correctly includes PEC but over-extracts by pulling PSTO (from Binding Term Sheet 47.11.3.1) and duplicating PEC (from Equinor agreement). 
Result: Correct buyer (Pengerang Energy Complex Sdn Bhd) was included, but extra buyers were added from other agreements. This field should return only one buyer.</t>
  </si>
  <si>
    <t>The model summarized the percentage instead of listing it separately for each feedstock type.</t>
  </si>
  <si>
    <t>It extracted ±10%, which is correct for Shell, but did not split it into condensate and naphtha separately. Equinor correctly left blank. Missing breakdown causes partial result.</t>
  </si>
  <si>
    <t>model expanded the breakdown to include delivery channels FIP/DAP for each feedstock, creating extra entries instead of the simpler per-feedstock summary expected in PEC: Condensate +/-5%, naphtha +/-10%, equinor [blank]</t>
  </si>
  <si>
    <t xml:space="preserve">Core percentages (±5% and ±10%) are correct. But it split them into FIP/DAP versions, creating too many entries. Over-detailed compared to PEC expectation.
PEC ground truth expects: Condensate +/-5%, naphtha +/-10%, equinor (no value). 
Extraction correctly identifies ±5% (Condensate) and ±10% (Naphtha) from Shell documents but over-splits by adding FIP/DAP variants (doubling each to 4 entries). Correctly omits Equinor-specific % (as PEC leaves blank). 
</t>
  </si>
  <si>
    <t>No issue — no fixed date exists.</t>
  </si>
  <si>
    <t>Correctly returned NOT_FOUND. Dates are defined relative to project milestones, not specific calendar dates. No value should be extracted.</t>
  </si>
  <si>
    <t>The model extracted the correct formula but added extra technical details that were not required.</t>
  </si>
  <si>
    <t xml:space="preserve">Core formula “A + B + C” is correct. However, it added benchmark names and delivery details that PEC did not mention. The answer is technically right but too detailed.
PEC ground truth (from 47.2.1.1.1 Shell Commercial Term Sheet pg 8): 'Price Formula = A + B + C', where A = benchmark, B = Premium/discount, C = "others". 
Extraction matches this exactly at the core level and correctly cites the source file. However, it includes extra breakdowns (Platts Dated Brent/Dubai/WTI for Condensate, MOPJ for Naphtha, freight/demurrage details in C, Equinor Market Price references) </t>
  </si>
  <si>
    <t>The model extracted Shell details correctly but failed to retrieve the Equinor formula from the other document.</t>
  </si>
  <si>
    <t xml:space="preserve">Shell components are well explained. However, the Equinor formula P = (PM+AD)L is completely missing. Partial coverage due to incomplete retrieval.
PEC ground truth expects: Shell details for A (benchmark), B (premium/discount), C ("others") from 47.2.1.1.1 pg 8, plus Equinor: P = (PM+AD)L with PM=pricing marker, AD=applicable differential, L=loss factor from 47.2.2.1.1 pg 55. 
Extraction provides excellent detail on Shell (A: specific Platts benchmarks, B: US/bblorUS /bbl or US /bblorUS/MT premium/discount, C: freight/demurrage/insurance/storage/WCF/hedging/MSA) but completely omits the Equinor formula/components, noting only that details were not in retrieved chunks. 
</t>
  </si>
  <si>
    <t>N/A – Exact match</t>
  </si>
  <si>
    <t>PEC expects three contract terms:
Shell Condensate – 12 years
Shell Naphtha – 12 years
Equinor – 10 years
The extraction summarizes this as:
Shell – 12 years
Equinor – 10 years
Since both Shell contracts have the same 12-year duration, combining them does not change the meaning. The numbers are accurate, and the sources are correct. Extra context (like start date triggers and extensions) was added but does not affect accuracy.
Overall, this is a clean and correct extraction</t>
  </si>
  <si>
    <t>The model understood that there is no fixed end year, but instead of simply returning “no answer” (as PEC expects), it explained the contract structure in detail and included extra information.</t>
  </si>
  <si>
    <t>PEC clearly states: “Shell – no answer” because the contract end depends on future trigger dates (Start Date, COD, Full Repayment), so no fixed calendar year can be calculated.
The extraction correctly recognized that no exact year can be determined. However, instead of returning NOT_FOUND / no answer, it described the 12-year and 10-year structures and also included Equinor, which PEC did not require for this datapoint.
So the reasoning was correct, but the output format did not follow PEC expectations. It should have simply returned NOT_FOUND with note: “Shell – no answer.”</t>
  </si>
  <si>
    <t>The model correctly extracted the Shell extension but failed to retrieve the Equinor extension from the other document. It also repeated the Shell value unnecessarily.</t>
  </si>
  <si>
    <t>PEC expects two values:
Shell – 5-year extension
Equinor – 2-year extension
The extraction correctly captured the Shell 5-year mutual extension. However, it marked Equinor as NOT_FOUND, even though PEC clearly states there is a 2-year extension in the Equinor contract. That is a missed extraction.
It also duplicated the Shell 5-year extension under two related entities, which is unnecessary since PEC treats Shell as a single answer.
So, Shell is correct, but Equinor is missing — resulting in partial coverage.</t>
  </si>
  <si>
    <t>The model correctly understood that there is no fixed start year for Shell, but it added extra details and included Equinor, which PEC did not require.</t>
  </si>
  <si>
    <t>PEC states: “Shell – no answer” because the contract start depends on future trigger dates, so no calendar year can be given.
The extraction correctly concluded that no fixed year exists. However, instead of simply returning “no answer,” it provided a longer explanation and added Equinor details that were not requested.
No incorrect values were created, but the response was broader than PEC expected.</t>
  </si>
  <si>
    <t>Numeric Deviation</t>
  </si>
  <si>
    <t>Value Mismatch</t>
  </si>
  <si>
    <t>The model correctly extracted all Shell quantities but used the wrong condensate number for Equinor. It picked the total facility capacity (150,000 bbl/day) instead of Equinor’s actual contracted amount (75,000 bbl/day). It also didn’t clearly state the monthly multiplication part for Equinor.</t>
  </si>
  <si>
    <t>PEC expects 6 values (Shell + Equinor).
Shell quantities (ACQ and QCQ min/max) were extracted correctly.
Equinor FRN 935 MT/day was also correct.
However, Equinor condensate was wrongly listed as 150,000 bbl/day instead of 75,000 bbl/day.
The wrong number comes from using total facility capacity rather than Equinor’s specific contract share. The monthly multiplier wording was also not clearly captured.
Overall: Shell correct, Equinor partly wrong → high impact because volume numbers are critical.</t>
  </si>
  <si>
    <t>The model extracted the correct units but added extra “per day” wording that PEC did not require.</t>
  </si>
  <si>
    <t>PEC expects only the basic units:
Shell condensate – barrels
Shell naphtha – KT
Equinor condensate – barrel
Equinor naphtha – MT
The extraction matched all of these correctly.
However, it added “per day” for the Equinor values, which PEC does not include in the expected answer. The core units are correct — the extra time basis is unnecessary but not technically wrong.
Overall: correct values, just slightly over-detailed.</t>
  </si>
  <si>
    <t>PEC expects:
Shell – FIP (Free Into Pipeline) or DAP (Delivery At Place) by vessel
Equinor – no value
The extraction correctly captured Shell’s delivery channels with helpful extra detail, and correctly left Equinor blank.
Overall: clean and accurate extraction across all Shell feedstocks.</t>
  </si>
  <si>
    <t>The model correctly identified Shell’s delivery frequency but added extra details and included Equinor, which PEC did not ask for.</t>
  </si>
  <si>
    <t xml:space="preserve">PEC expects only Shell’s delivery frequency: “month.”
Clarification: Should we expect datapoint return 1 combined value across all contracts, or separate values per contract (e.g., Shell Condensate, Shell Naphtha, Equinor — total 3 expected values)?
</t>
  </si>
  <si>
    <t>The model pulled the quality specs from Shell’s documents instead of the PEC-specified Equinor agreement. It didn’t retrieve the correct source.</t>
  </si>
  <si>
    <t>PEC expects quality specs from Equinor Feedstock Sale and Product Purchase Agreement (pg 47, “feeds table from 3.0”).
The extraction instead returned:
Condensate = “normal export quality as per produced” + pre-agreed grades (Shell)
Full Range Naphtha = N+2A Min 35.0%, 50% Distillation Min 85°C (Shell)
No Equinor specs were included.
Result: partial extraction — some quality info present, but from the wrong entity/source. Critical because the correct specs are needed for contract compliance.</t>
  </si>
  <si>
    <t>PEC expects two sellers:
Shell International Eastern Trading Company (SIETCO)
Equinor ASA
Overall: clean and accurate extraction.</t>
  </si>
  <si>
    <t>The model only found the naphtha storage capacity and missed the condensate value, likely because it wasn’t in the retrieved chunks.</t>
  </si>
  <si>
    <t>PEC expects:
Condensate – 820,000 m³
Naphtha – 45,714 m³
The extraction correctly got naphtha (45,714 m³) but completely missed condensate. The model noted that condensate might be in another document but didn’t retrieve it.</t>
  </si>
  <si>
    <t>Missing</t>
  </si>
  <si>
    <t>Missing Extraction</t>
  </si>
  <si>
    <t>The model failed to retrieve or interpret the relevant section, so it didn’t calculate the annual take-or-pay minimums.</t>
  </si>
  <si>
    <t>PEC expects:
Shell Condensate – 27 million barrels/year (90% of 30M ACQ, accounting for ±10% buyer option)
Shell Naphtha – 153 KT/year (90% of 170 KT ACQ)
The extraction returned NOT_FOUND, thinking no minimum exists per month. However, the datapoint is annual, not monthly, so the model missed the correct calculation entirely.</t>
  </si>
  <si>
    <t>The extraction correctly pulled available data even though PEC had no provided document.</t>
  </si>
  <si>
    <t>PEC says: “Document not provided”, so there’s no expected value.</t>
  </si>
  <si>
    <t>3+ (implied: Product, Hydrogen, Shell products)</t>
  </si>
  <si>
    <t>The model inferred products from agreements even though PEC explicitly expects no values.</t>
  </si>
  <si>
    <t>PEC ground truth is empty ("") — no committed offtake products are defined.
The extraction listed:
Generic “Product” from Mitsui agreement
Hydrogen from a separate agreement
Unspecified Shell products
These are reasonable inferences, but PEC expected nothing.</t>
  </si>
  <si>
    <t>The model couldn’t retrieve the key section defining the products, so it returned NOT_FOUND.</t>
  </si>
  <si>
    <t>PEC expects 11 products:
C3 LPG, C4 LPG, Light Naphtha, Benzene, para-xylene, Kerosene, Diesel, Fuel Oil, Hydrogen Rich Gas, Fuel Gas, Sulfur
The extraction did not pull any of these because the relevant section wasn’t retrieved I guess.</t>
  </si>
  <si>
    <t>PEC clearly states: 10 years including the construction.
Extraction return nothing.</t>
  </si>
  <si>
    <t>The model listed the terminal names instead of clearly stating the geographic location requested in PEC.</t>
  </si>
  <si>
    <t>PEC expects: “Pengerang, Johor.”
The extraction identified the specific terminals (PITSB and Dialog PDT Phase 3), which are correct facilities. However, it did not explicitly state the location as “Pengerang, Johor.”
So the information is indirectly correct, but the format doesn’t match PEC’s simple location-based answer.</t>
  </si>
  <si>
    <t>The model pulled the value from the wrong version of the EPCC contract. It used an 18-month figure instead of the correct 6-month value stated in the PEC-referenced document.</t>
  </si>
  <si>
    <t>PEC clearly states: 6 months (from the W&amp;C Draft, pg 80 — defined as six months after Mechanical Completion).
The extraction returned 18 months, which came from a different contract version referring to another type of longstop.
So the number is wrong due to using the wrong document. This is high impact because longstop duration affects delay risk and contractor liability.</t>
  </si>
  <si>
    <t>No issue — the extraction is correct.</t>
  </si>
  <si>
    <t>PEC expects:
Shell Condensate – 33 million barrels per year (30M + 10%)
Shell Naphtha – 187 KT per year (170 KT + 10%)
Equinor – not available
The extraction matches these values exactly and correctly references the Shell documents. No Equinor value was included, which aligns with PEC.
The calculation explanation (ACQ + 10%) is accurate and consistent with the contract terms.
Overall: clean and accurate derived extraction.</t>
  </si>
  <si>
    <t>PEC states: 10% of the Contract Price (as per the EPCC Contract, pg 97).
The extraction matches this exactly and correctly references the relevant contract clauses. It also notes the daily rate (0.06% per day) and the overall 10% cap, which is accurate and consistent.</t>
  </si>
  <si>
    <t>The model identified the correct maximum volumes but duplicated them across two Shell contracts instead of treating them as one set. It also didn’t clearly consolidate them into a single list and left out the tolerance details.</t>
  </si>
  <si>
    <t>PEC expects 4 maximum values (Shell only):
FIP Condensate – 600,000 barrels
FIP Naphtha – 25,000 MT
DAP Condensate – 2,000,000 barrels
DAP Naphtha – 75,000 MT
(with ±5% / ±10% seller tolerances)
The extraction got all four maximum numbers correct. However, it duplicated them across two Shell contract versions, resulting in 8 entries instead of 4. It also didn’t clearly include the tolerance context mentioned in PEC.
No Equinor value was included, which is correct.
Overall: numbers are accurate, but presentation is over-split and slightly incomplete in context.</t>
  </si>
  <si>
    <t>Maximum Performance Liquidated Damages (% of contract price)</t>
  </si>
  <si>
    <t>PEC states: 10% of the Contract Price (EPCC Contract, pg 97).
The extraction matches this exactly for both CNCEC+PEC and W&amp;C Draft versions, referencing the correct contract clauses. It also notes the combined cap for Delay + Performance LDs = 20%, which is accurate.
Overall: clean and accurate extraction of a key EPC performance risk metric.</t>
  </si>
  <si>
    <t>Maximum Total Liquidated Damages (% of contract price)</t>
  </si>
  <si>
    <t>No issue — the extraction correctly interpreted the datapoint intent.</t>
  </si>
  <si>
    <t>PEC quote mentions 10% Performance LD, but the datapoint asks for the total LD cap.
The extraction correctly identifies 20% of Contract Price as the aggregate cap for all LDs, consistent across both CNCEC+PEC and W&amp;C Draft contracts.
Additional context about separate caps vs overall liability is accurate.
Overall: clean, correct extraction; perfectly aligns with the total LD expectation.</t>
  </si>
  <si>
    <t>The model correctly derived Shell minimums but failed to retrieve the Equinor values from the referenced agreement.</t>
  </si>
  <si>
    <t>PEC expects 4 values:
Shell Condensate – 27M barrels/year
Shell Naphtha – 153 KT/year
Equinor Condensate – 50,000 bbl/day × days in month
Equinor FRN – 935 MT/day × days in month
The extraction matches the Shell minima exactly but omits the Equinor minima.
Partial completeness: 2 of 4 values retrieved. High severity because missing Equinor data understates minimum take-or-pay obligations.</t>
  </si>
  <si>
    <t>~14 (process units)</t>
  </si>
  <si>
    <t>The model extracted capacities for individual process units but missed the final product output capacities PEC expects.</t>
  </si>
  <si>
    <t>PEC expects 11 final product outputs with nameplate capacities, e.g.:
C3 LPG – 64 KMTA
C4 LPG – 253 KMTA
Light Naphtha – 961 KMTA
Benzene – 591 KMTA
Para-xylene – 1,683 KMTA
Kerosene – 718 KMTA
Diesel – 1,440 KMTA
Fuel Oil – 460 KMTA
Fuel Gas – 465 KMTA
Sulfur – 4 KMTA
Extraction provides ~14 process-unit capacities (e.g., NHT, Parex, Isomar) — mostly upstream/intermediate units — not the final product outputs. Only Benzene and Para-xylene match PEC; the other 9 products are missing.
Partial completeness: missing most of the expected final product capacities. High severity because this metric is essential for production planning, offtake coverage, and volume risk assessment.</t>
  </si>
  <si>
    <t>The model pulled units for process units instead of the final product outputs PEC requires.</t>
  </si>
  <si>
    <t>PEC expects units for 11 final products:
C3 LPG, C4 LPG, Light Naphtha, Kerosene, Diesel – BPDS + KMTA
Benzene, Para-xylene, Fuel Oil, Hydrogen Rich Gas, Fuel Gas, Sulfur – KMTA
Extraction provides units for upstream/process units (e.g., NHT, CCRU, CFU, Parex, Sulfur Recovery) in varied formats (KMTA, BPSD, MTA/day, lb/h).
Matches for Benzene and Para-xylene units exist, but most product-level units are missing or misaligned.
Partial completeness: correct numbers for 2 products, missing units for 9 others. High severity because accurate product-level units are critical for interpreting capacities, offtake planning, and volume-risk calculations.</t>
  </si>
  <si>
    <t>Extraction correctly identified the two feedstocks needing storage (Condensate and Full Range Naphtha).</t>
  </si>
  <si>
    <t>PEC expects 2 feedstocks: Condensate and FRN. Extraction matches this exactly.
Derived from Shell term sheets and TSA/storage proposal context.
Extra details about obligations and partial TSA listings are accurate and do not conflict with PEC.
No Equinor or other feedstocks included, aligning with PEC.
Clean, single-project integer value; perfect match for this storage requirement metric.</t>
  </si>
  <si>
    <t>Extraction only found 2 buyers (Mitsui &amp; Co. Ltd and Shell/SIETCO) and missed the other 3 buyers listed in PEC. Likely due to incomplete retrieval of all agreements or term sheets.</t>
  </si>
  <si>
    <t>PEC expects 5 buyers. Extraction captured only 2 (~40% of expected).
Correctly identified offtake buyers, but partially confused "buyer" vs "seller" in context.
Missing 3 buyers reduces completeness.
High importance: total buyer count affects revenue diversification and concentration risk.
Partial extraction; core info correct but incomplete.</t>
  </si>
  <si>
    <t>Extraction found only 2 sellers (Pengerang Energy Complex Sdn Bhd and Pengerang Product Supply &amp; Trading Organisation Pte. Ltd.) and missed the other 3 expected in PEC. Likely caused by incomplete retrieval or missing agreement chunks.</t>
  </si>
  <si>
    <t>PEC expects 5 seller entities. Extraction captured only 2 (~40% of total).
Correctly identifies some sellers, but fails to cover all offtake counterparties.
Missing 3 entities reduces completeness.
High importance: total seller count affects offtake diversification, coverage ratio, and revenue security.
Partial extraction; core info is correct but incomplete.</t>
  </si>
  <si>
    <t>Extraction returned NOT_FOUND, focusing only on the Engineering Agreement (design services) and missing the actual product list PEC references.</t>
  </si>
  <si>
    <t>PEC specifies 11 products: C3 LPG, C4 LPG, Light Naphtha, Benzene, para-xylene, kerosene, diesel, fuel oil, hydrogen rich gas, fuel gas, and Sulfur.
Extraction failed to capture any of these.
High severity: total product count is essential for offtake planning, output diversification, and volume risk assessment.
Likely caused by retrieval/chunking gaps in the engineering document where the product list is detailed.
Result: complete miss, no values extracted.</t>
  </si>
  <si>
    <t>Extraction returned NOT_FOUND because the TSA refers to "the Terminal" singularly and Schedule A lists tanks without explicitly counting distinct terminal sites.</t>
  </si>
  <si>
    <t>PEC specifies 2 storage terminals
Extraction failed to infer or cross-reference these from related proposals or storage context.
Result: complete miss, no values extracted.</t>
  </si>
  <si>
    <t>Missed retrieving the full set of offtake agreements; only got Shell and Mitsui chunks</t>
  </si>
  <si>
    <t>PEC expects 5 buyers: Shell, Mitsui, PTT, Pandita, Equinor. Extraction got Shell (SIETCO) and Mitsui correctly with good detail from Shell term sheets and Mitsui POA. 
Completely missed PTT, Pandita, and Equinor — no mention or retrieval. Hydrogen buyer undisclosed in chunks, but still short 3 entities. Partial because only 40% of the list captured; high severity as missing buyers understates offtake diversification and revenue risk coverage significantly. 
Values extracted are accurate (no wrong names added).</t>
  </si>
  <si>
    <t>3+</t>
  </si>
  <si>
    <t>Pulled from wrong set of agreements (Mitsui, PTT, Hydrogen) instead of the specific Shell and Equinor docs referenced in PEC</t>
  </si>
  <si>
    <t>PEC expects only two: Shell = 12 years (from 47.2.1.2.1 pg 1), Equinor = 10th anniversary of COD (from 47.2.2.2.1 pg 25). 
Extraction got 12 years (but wrongly attributed to Mitsui instead of Shell) and 10th anniversary (wrongly to PTT), plus extra unrelated terms (Hydrogen 15 years + renewals). Shell term missing entirely despite reference. 
Partial because core numbers appear but attached to wrong buyers and extras added. 
High severity — misattribution confuses which contract has which term, critical for accurate offtake coverage and expiry risk modeling.</t>
  </si>
  <si>
    <t>4+</t>
  </si>
  <si>
    <t>Missed the Equinor extension clause on pg 27; pulled from other contracts (PTT, Mitsui, Hydrogen, Shell) instead</t>
  </si>
  <si>
    <t>PEC expects 5 contracts with extensions: 
Shell (mutual +5 years – matched), 
Equinor (to 12th COD anniversary, 
Equinor decides, notice by 6th COD – completely missing), Pandita/Hydrogen (15-year term implied), 
PTT (10-year term implied), 
Mitsui (12-year term implied). 
Extraction got Shell correct (mutual 5 years + extra unilateral repayment option), PTT (auto to 10th anniversary), Mitsui (mutual request), Hydrogen (auto 5-year renewals, 3-year notice) — but no Equinor at all. Details are good where present, but wrong contracts covered and Equinor omitted. Partial because one key contract missing; high severity — Equinor extension is important for long-term security of that buyer’s purchases.</t>
  </si>
  <si>
    <t>I think it missed chunks for Equinor and Pandita; focused too much on Shell, Mitsui, PTT</t>
  </si>
  <si>
    <t>PEC expects units for all 5 contracts: 
Shell (KT for Gasoil/Jet/Fuel Oil/Light Naphtha/Benzene), 
Equinor (bbld / barrels per day for LVN/Jet/C3+C4), Mitsui (MT for paraxylene + benzene), 
PTT (MT for paraxylene + benzene), 
Pandita (Nm³). 
Extraction got Shell (KT – correct and detailed), Mitsui (MT – correct but no quantities), PTT (MT + some caps – good) — but completely missed Equinor (bbld) and Pandita (Nm³). 
Partial because 2 out of 5 contracts are absent. 
High severity — missing units for key buyers means we can't properly compare volumes or calculate total contracted amounts. Values it did get are accurate, but big gaps hurt the full picture for offtake coverage.</t>
  </si>
  <si>
    <t>I think it grabbed good details from Shell, Mitsui, PTT, Hydrogen but skipped Equinor (PEC says "not defined") — probably missed that part of the chunks</t>
  </si>
  <si>
    <t>PEC expects 5 contracts: 
Shell (FIP or FOB – matched perfectly with parcel sizes), 
Equinor (not defined – missing in extraction), 
Mitsui (FOB – correct), 
PTT (FOB – correct), 
Pandita/Hydrogen (Pipeline – correct but called "Hydrogen" instead of Pandita). 
Extraction got Shell, Mitsui, PTT, Hydrogen right with nice detail (FIP/FOB for Shell, FOB for others, Pipeline for Hydrogen). Missed Equinor completely (should say "not defined"). 
Partial because one contract absent. Medium severity — Equinor missing is noticeable but not fatal since "not defined" means no impact on delivery planning. Values it did get are spot-on and helpful. Overall good but not 100% complete.</t>
  </si>
  <si>
    <t>Total Revenue Per Month</t>
  </si>
  <si>
    <t>Start</t>
  </si>
  <si>
    <t>Annual Revenue</t>
  </si>
  <si>
    <t>Average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</si>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</sst>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yyyy\-mm\-dd\ hh:mm:ss"/>
    <numFmt numFmtId="166" formatCode="d\-mmmm\-yy"/>
  </numFmts>
  <fonts count="12">
    <font>
      <sz val="10"/>
      <color rgb="FF000000"/>
      <name val="Arial"/>
      <scheme val="minor"/>
    </font>
    <font>
      <b/>
      <i/>
      <sz val="10"/>
      <color theme="1"/>
      <name val="Inter"/>
    </font>
    <font>
      <sz val="10"/>
      <color theme="1"/>
      <name val="Inter"/>
    </font>
    <font>
      <sz val="10"/>
      <color theme="1"/>
      <name val="Arial"/>
      <scheme val="minor"/>
    </font>
    <font>
      <sz val="11"/>
      <color rgb="FF434343"/>
      <name val="Roboto"/>
    </font>
    <font>
      <sz val="10"/>
      <name val="Arial"/>
    </font>
    <font>
      <i/>
      <sz val="10"/>
      <color theme="1"/>
      <name val="Arial"/>
      <scheme val="minor"/>
    </font>
    <font>
      <b/>
      <sz val="10"/>
      <color theme="1"/>
      <name val="Inter"/>
    </font>
    <font>
      <b/>
      <sz val="10"/>
      <color rgb="FFF0F0F0"/>
      <name val="Arial"/>
    </font>
    <font>
      <b/>
      <sz val="11"/>
      <color theme="1"/>
      <name val="Arial"/>
    </font>
    <font>
      <b/>
      <sz val="10"/>
      <color theme="1"/>
      <name val="Arial"/>
    </font>
    <font>
      <sz val="10"/>
      <color theme="1"/>
      <name val="Arial"/>
    </font>
  </fonts>
  <fills count="8">
    <fill>
      <patternFill patternType="none"/>
    </fill>
    <fill>
      <patternFill patternType="gray125"/>
    </fill>
    <fill>
      <patternFill patternType="solid">
        <fgColor rgb="FFA3B2CC"/>
        <bgColor rgb="FFA3B2CC"/>
      </patternFill>
    </fill>
    <fill>
      <patternFill patternType="solid">
        <fgColor rgb="FFF0F0F0"/>
        <bgColor rgb="FFF0F0F0"/>
      </patternFill>
    </fill>
    <fill>
      <patternFill patternType="solid">
        <fgColor rgb="FFFFFFFF"/>
        <bgColor rgb="FFFFFFFF"/>
      </patternFill>
    </fill>
    <fill>
      <patternFill patternType="solid">
        <fgColor rgb="FFF6F8F9"/>
        <bgColor rgb="FFF6F8F9"/>
      </patternFill>
    </fill>
    <fill>
      <patternFill patternType="solid">
        <fgColor rgb="FFDFE4EC"/>
        <bgColor rgb="FFDFE4EC"/>
      </patternFill>
    </fill>
    <fill>
      <patternFill patternType="solid">
        <fgColor rgb="FF404040"/>
        <bgColor rgb="FF404040"/>
      </patternFill>
    </fill>
  </fills>
  <borders count="25">
    <border>
      <left/>
      <right/>
      <top/>
      <bottom/>
      <diagonal/>
    </border>
    <border>
      <left style="thin">
        <color rgb="FFFFFFFF"/>
      </left>
      <right style="thin">
        <color rgb="FFFFFFF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double">
        <color rgb="FF000000"/>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thin">
        <color indexed="8"/>
      </left>
      <right/>
      <top/>
      <bottom/>
      <diagonal/>
    </border>
    <border>
      <left style="thin">
        <color indexed="8"/>
      </left>
      <right style="thin">
        <color indexed="8"/>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65"/>
      </left>
      <right/>
      <top style="thin">
        <color indexed="8"/>
      </top>
      <bottom/>
      <diagonal/>
    </border>
    <border>
      <left style="thin">
        <color indexed="65"/>
      </left>
      <right style="thin">
        <color indexed="8"/>
      </right>
      <top style="thin">
        <color indexed="8"/>
      </top>
      <bottom/>
      <diagonal/>
    </border>
    <border>
      <left/>
      <right/>
      <top style="thin">
        <color indexed="8"/>
      </top>
      <bottom/>
      <diagonal/>
    </border>
    <border>
      <left/>
      <right/>
      <top style="thin">
        <color indexed="8"/>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style="thin">
        <color indexed="8"/>
      </top>
      <bottom style="thin">
        <color indexed="8"/>
      </bottom>
      <diagonal/>
    </border>
  </borders>
  <cellStyleXfs count="1">
    <xf numFmtId="0" fontId="0" fillId="0" borderId="0"/>
  </cellStyleXfs>
  <cellXfs count="90">
    <xf numFmtId="0" fontId="0" fillId="0" borderId="0" xfId="0" applyFont="1" applyAlignment="1"/>
    <xf numFmtId="0" fontId="1" fillId="2" borderId="0" xfId="0" applyFont="1" applyFill="1" applyAlignment="1">
      <alignment horizontal="left" vertical="top" wrapText="1"/>
    </xf>
    <xf numFmtId="0" fontId="2" fillId="3" borderId="0" xfId="0" applyFont="1" applyFill="1" applyAlignment="1">
      <alignment horizontal="left" vertical="top" wrapText="1"/>
    </xf>
    <xf numFmtId="9" fontId="2" fillId="3" borderId="0" xfId="0" applyNumberFormat="1" applyFont="1" applyFill="1" applyAlignment="1">
      <alignment horizontal="left" vertical="top" wrapText="1"/>
    </xf>
    <xf numFmtId="0" fontId="3" fillId="0" borderId="0" xfId="0" applyFont="1" applyAlignment="1">
      <alignment horizontal="left" vertical="top" wrapText="1"/>
    </xf>
    <xf numFmtId="0" fontId="1" fillId="4" borderId="0" xfId="0" applyFont="1" applyFill="1" applyAlignment="1">
      <alignment horizontal="left" wrapText="1"/>
    </xf>
    <xf numFmtId="9" fontId="2" fillId="3" borderId="0" xfId="0" applyNumberFormat="1" applyFont="1" applyFill="1" applyAlignment="1">
      <alignment horizontal="left" wrapText="1"/>
    </xf>
    <xf numFmtId="0" fontId="1" fillId="2" borderId="0" xfId="0" applyFont="1" applyFill="1" applyAlignment="1">
      <alignment horizontal="left" wrapText="1"/>
    </xf>
    <xf numFmtId="0" fontId="3" fillId="0" borderId="0" xfId="0" applyFont="1" applyAlignment="1">
      <alignment wrapText="1"/>
    </xf>
    <xf numFmtId="0" fontId="4" fillId="4" borderId="0" xfId="0" applyFont="1" applyFill="1" applyAlignment="1">
      <alignment vertical="center"/>
    </xf>
    <xf numFmtId="0" fontId="3" fillId="0" borderId="0" xfId="0" applyFont="1" applyAlignment="1">
      <alignment vertical="center" wrapText="1"/>
    </xf>
    <xf numFmtId="164" fontId="3" fillId="0" borderId="0" xfId="0" applyNumberFormat="1" applyFont="1" applyAlignment="1">
      <alignment vertical="center" wrapText="1"/>
    </xf>
    <xf numFmtId="4" fontId="3" fillId="0" borderId="0" xfId="0" applyNumberFormat="1" applyFont="1" applyAlignment="1">
      <alignment vertical="center" wrapText="1"/>
    </xf>
    <xf numFmtId="0" fontId="4" fillId="5" borderId="0" xfId="0" applyFont="1" applyFill="1" applyAlignment="1">
      <alignment vertical="center"/>
    </xf>
    <xf numFmtId="9" fontId="3" fillId="0" borderId="0" xfId="0" applyNumberFormat="1" applyFont="1" applyAlignment="1">
      <alignment vertical="center" wrapText="1"/>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0" xfId="0" applyFont="1"/>
    <xf numFmtId="0" fontId="3" fillId="0" borderId="0" xfId="0" applyFont="1" applyAlignment="1">
      <alignment horizontal="center" vertical="center"/>
    </xf>
    <xf numFmtId="10" fontId="3" fillId="0" borderId="0" xfId="0" applyNumberFormat="1" applyFont="1" applyAlignment="1">
      <alignment horizontal="center" vertical="center"/>
    </xf>
    <xf numFmtId="10" fontId="3" fillId="0" borderId="0" xfId="0" applyNumberFormat="1" applyFont="1" applyAlignment="1">
      <alignment horizontal="center"/>
    </xf>
    <xf numFmtId="0" fontId="6" fillId="0" borderId="0" xfId="0" applyFont="1" applyAlignment="1"/>
    <xf numFmtId="0" fontId="3" fillId="0" borderId="0" xfId="0" applyFont="1" applyAlignment="1"/>
    <xf numFmtId="9" fontId="3" fillId="0" borderId="0" xfId="0" applyNumberFormat="1" applyFont="1"/>
    <xf numFmtId="10" fontId="3" fillId="0" borderId="0" xfId="0" applyNumberFormat="1" applyFont="1"/>
    <xf numFmtId="49" fontId="2" fillId="0" borderId="0" xfId="0" applyNumberFormat="1" applyFont="1" applyAlignment="1">
      <alignment horizontal="left" vertical="center" wrapText="1"/>
    </xf>
    <xf numFmtId="165" fontId="2" fillId="0" borderId="0" xfId="0" applyNumberFormat="1" applyFont="1" applyAlignment="1">
      <alignment horizontal="left" vertical="center" wrapText="1"/>
    </xf>
    <xf numFmtId="0" fontId="2" fillId="0" borderId="0" xfId="0" applyFont="1" applyAlignment="1">
      <alignment horizontal="left" wrapText="1"/>
    </xf>
    <xf numFmtId="0" fontId="7" fillId="0" borderId="0" xfId="0" applyFont="1" applyAlignment="1">
      <alignment horizontal="left" vertical="center" wrapText="1"/>
    </xf>
    <xf numFmtId="0" fontId="2" fillId="6" borderId="0" xfId="0" applyFont="1" applyFill="1" applyAlignment="1">
      <alignment horizontal="left" wrapText="1"/>
    </xf>
    <xf numFmtId="9" fontId="2" fillId="0" borderId="0" xfId="0" applyNumberFormat="1" applyFont="1" applyAlignment="1">
      <alignment horizontal="left" wrapText="1"/>
    </xf>
    <xf numFmtId="9" fontId="1" fillId="2" borderId="0" xfId="0" applyNumberFormat="1" applyFont="1" applyFill="1" applyAlignment="1">
      <alignment horizontal="left" wrapText="1"/>
    </xf>
    <xf numFmtId="0" fontId="2" fillId="3" borderId="0" xfId="0" applyFont="1" applyFill="1" applyAlignment="1">
      <alignment horizontal="left" wrapText="1"/>
    </xf>
    <xf numFmtId="0" fontId="2" fillId="4" borderId="0" xfId="0" applyFont="1" applyFill="1" applyAlignment="1">
      <alignment horizontal="left" wrapText="1"/>
    </xf>
    <xf numFmtId="9" fontId="2" fillId="4" borderId="0" xfId="0" applyNumberFormat="1" applyFont="1" applyFill="1" applyAlignment="1">
      <alignment horizontal="left" wrapText="1"/>
    </xf>
    <xf numFmtId="0" fontId="7" fillId="3" borderId="0" xfId="0" applyFont="1" applyFill="1" applyAlignment="1">
      <alignment horizontal="left" wrapText="1"/>
    </xf>
    <xf numFmtId="9" fontId="7" fillId="3" borderId="0" xfId="0" applyNumberFormat="1" applyFont="1" applyFill="1" applyAlignment="1">
      <alignment horizontal="left"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vertical="center"/>
    </xf>
    <xf numFmtId="0" fontId="7" fillId="0" borderId="0" xfId="0" applyFont="1" applyAlignment="1">
      <alignment horizontal="left" wrapText="1"/>
    </xf>
    <xf numFmtId="15" fontId="8" fillId="7" borderId="0" xfId="0" applyNumberFormat="1" applyFont="1" applyFill="1" applyAlignment="1">
      <alignment horizontal="center"/>
    </xf>
    <xf numFmtId="3" fontId="9" fillId="0" borderId="11" xfId="0" applyNumberFormat="1" applyFont="1" applyBorder="1" applyAlignment="1">
      <alignment horizontal="right"/>
    </xf>
    <xf numFmtId="3" fontId="3" fillId="0" borderId="0" xfId="0" applyNumberFormat="1" applyFont="1"/>
    <xf numFmtId="166" fontId="8" fillId="7" borderId="0" xfId="0" applyNumberFormat="1" applyFont="1" applyFill="1" applyAlignment="1">
      <alignment horizontal="center"/>
    </xf>
    <xf numFmtId="0" fontId="9" fillId="0" borderId="11" xfId="0" applyFont="1" applyBorder="1" applyAlignment="1">
      <alignment horizontal="right"/>
    </xf>
    <xf numFmtId="0" fontId="3" fillId="0" borderId="3" xfId="0" applyFont="1" applyBorder="1" applyAlignment="1"/>
    <xf numFmtId="0" fontId="3" fillId="0" borderId="6" xfId="0" applyFont="1" applyBorder="1" applyAlignment="1"/>
    <xf numFmtId="0" fontId="0" fillId="0" borderId="0" xfId="0" applyFont="1" applyAlignment="1"/>
    <xf numFmtId="0" fontId="3" fillId="0" borderId="6" xfId="0" applyFont="1" applyBorder="1" applyAlignment="1">
      <alignment vertical="top" wrapText="1"/>
    </xf>
    <xf numFmtId="0" fontId="3" fillId="0" borderId="6" xfId="0" applyFont="1" applyBorder="1" applyAlignment="1">
      <alignment horizontal="left" vertical="top" wrapText="1"/>
    </xf>
    <xf numFmtId="0" fontId="3" fillId="0" borderId="8" xfId="0" applyFont="1" applyBorder="1" applyAlignment="1">
      <alignment horizontal="left" vertical="top" wrapText="1"/>
    </xf>
    <xf numFmtId="0" fontId="0" fillId="0" borderId="12" xfId="0" pivotButton="1" applyFont="1" applyBorder="1" applyAlignment="1"/>
    <xf numFmtId="0" fontId="0" fillId="0" borderId="13" xfId="0" applyFont="1" applyBorder="1" applyAlignment="1"/>
    <xf numFmtId="0" fontId="0" fillId="0" borderId="12" xfId="0" applyFont="1" applyBorder="1" applyAlignment="1"/>
    <xf numFmtId="10" fontId="0" fillId="0" borderId="13" xfId="0" applyNumberFormat="1" applyFont="1" applyBorder="1" applyAlignment="1"/>
    <xf numFmtId="0" fontId="0" fillId="0" borderId="14" xfId="0" applyFont="1" applyBorder="1" applyAlignment="1"/>
    <xf numFmtId="10" fontId="0" fillId="0" borderId="15" xfId="0" applyNumberFormat="1" applyFont="1" applyBorder="1" applyAlignment="1"/>
    <xf numFmtId="0" fontId="0" fillId="0" borderId="16" xfId="0" applyFont="1" applyBorder="1" applyAlignment="1"/>
    <xf numFmtId="10" fontId="0" fillId="0" borderId="17" xfId="0" applyNumberFormat="1" applyFont="1" applyBorder="1" applyAlignment="1"/>
    <xf numFmtId="0" fontId="0" fillId="0" borderId="17" xfId="0" pivotButton="1" applyFont="1" applyBorder="1" applyAlignment="1"/>
    <xf numFmtId="0" fontId="0" fillId="0" borderId="17" xfId="0" applyFont="1" applyBorder="1" applyAlignment="1"/>
    <xf numFmtId="0" fontId="0" fillId="0" borderId="18" xfId="0" applyFont="1" applyBorder="1" applyAlignment="1"/>
    <xf numFmtId="0" fontId="0" fillId="0" borderId="19" xfId="0" applyFont="1" applyBorder="1" applyAlignment="1"/>
    <xf numFmtId="0" fontId="0" fillId="0" borderId="20" xfId="0" applyFont="1" applyBorder="1" applyAlignment="1"/>
    <xf numFmtId="0" fontId="0" fillId="0" borderId="12" xfId="0" applyNumberFormat="1" applyFont="1" applyBorder="1" applyAlignment="1"/>
    <xf numFmtId="0" fontId="0" fillId="0" borderId="20" xfId="0" applyNumberFormat="1" applyFont="1" applyBorder="1" applyAlignment="1"/>
    <xf numFmtId="0" fontId="0" fillId="0" borderId="13" xfId="0" applyNumberFormat="1" applyFont="1" applyBorder="1" applyAlignment="1"/>
    <xf numFmtId="0" fontId="0" fillId="0" borderId="14" xfId="0" applyNumberFormat="1" applyFont="1" applyBorder="1" applyAlignment="1"/>
    <xf numFmtId="0" fontId="0" fillId="0" borderId="0" xfId="0" applyNumberFormat="1" applyFont="1" applyAlignment="1"/>
    <xf numFmtId="0" fontId="0" fillId="0" borderId="15" xfId="0" applyNumberFormat="1" applyFont="1" applyBorder="1" applyAlignment="1"/>
    <xf numFmtId="0" fontId="0" fillId="0" borderId="16" xfId="0" applyNumberFormat="1" applyFont="1" applyBorder="1" applyAlignment="1"/>
    <xf numFmtId="0" fontId="0" fillId="0" borderId="21" xfId="0" applyNumberFormat="1" applyFont="1" applyBorder="1" applyAlignment="1"/>
    <xf numFmtId="0" fontId="0" fillId="0" borderId="17" xfId="0" applyNumberFormat="1" applyFont="1" applyBorder="1" applyAlignment="1"/>
    <xf numFmtId="0" fontId="0" fillId="0" borderId="22" xfId="0" applyFont="1" applyBorder="1" applyAlignment="1"/>
    <xf numFmtId="10" fontId="0" fillId="0" borderId="12" xfId="0" applyNumberFormat="1" applyFont="1" applyBorder="1" applyAlignment="1"/>
    <xf numFmtId="10" fontId="0" fillId="0" borderId="20" xfId="0" applyNumberFormat="1" applyFont="1" applyBorder="1" applyAlignment="1"/>
    <xf numFmtId="10" fontId="0" fillId="0" borderId="22" xfId="0" applyNumberFormat="1" applyFont="1" applyBorder="1" applyAlignment="1"/>
    <xf numFmtId="10" fontId="0" fillId="0" borderId="14" xfId="0" applyNumberFormat="1" applyFont="1" applyBorder="1" applyAlignment="1"/>
    <xf numFmtId="10" fontId="0" fillId="0" borderId="0" xfId="0" applyNumberFormat="1" applyFont="1" applyAlignment="1"/>
    <xf numFmtId="10" fontId="0" fillId="0" borderId="23" xfId="0" applyNumberFormat="1" applyFont="1" applyBorder="1" applyAlignment="1"/>
    <xf numFmtId="10" fontId="0" fillId="0" borderId="16" xfId="0" applyNumberFormat="1" applyFont="1" applyBorder="1" applyAlignment="1"/>
    <xf numFmtId="10" fontId="0" fillId="0" borderId="21" xfId="0" applyNumberFormat="1" applyFont="1" applyBorder="1" applyAlignment="1"/>
    <xf numFmtId="10" fontId="0" fillId="0" borderId="24" xfId="0" applyNumberFormat="1" applyFont="1" applyBorder="1" applyAlignment="1"/>
    <xf numFmtId="0" fontId="5" fillId="0" borderId="4" xfId="0" applyFont="1" applyBorder="1" applyAlignment="1"/>
    <xf numFmtId="0" fontId="5" fillId="0" borderId="5" xfId="0" applyFont="1" applyBorder="1" applyAlignment="1"/>
    <xf numFmtId="0" fontId="5" fillId="0" borderId="7" xfId="0" applyFont="1" applyBorder="1" applyAlignment="1"/>
    <xf numFmtId="0" fontId="5" fillId="0" borderId="6" xfId="0" applyFont="1" applyBorder="1" applyAlignment="1"/>
    <xf numFmtId="0" fontId="5" fillId="0" borderId="9" xfId="0" applyFont="1" applyBorder="1" applyAlignment="1"/>
    <xf numFmtId="0" fontId="5" fillId="0" borderId="10" xfId="0" applyFont="1" applyBorder="1" applyAlignment="1"/>
  </cellXfs>
  <cellStyles count="1">
    <cellStyle name="Normal" xfId="0" builtinId="0"/>
  </cellStyles>
  <dxfs count="12">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tableStyle name="output-style" pivot="0" count="4" xr9:uid="{00000000-0011-0000-FFFF-FFFF00000000}">
      <tableStyleElement type="wholeTable" size="0" dxfId="11"/>
      <tableStyleElement type="headerRow" dxfId="10"/>
      <tableStyleElement type="firstRowStripe" dxfId="9"/>
      <tableStyleElement type="secondRowStripe" dxfId="8"/>
    </tableStyle>
    <tableStyle name="Updated Manual Check-style" pivot="0" count="4" xr9:uid="{00000000-0011-0000-FFFF-FFFF01000000}">
      <tableStyleElement type="wholeTable" size="0" dxfId="7"/>
      <tableStyleElement type="headerRow" dxfId="6"/>
      <tableStyleElement type="firstRowStripe" dxfId="5"/>
      <tableStyleElement type="secondRowStripe" dxfId="4"/>
    </tableStyle>
    <tableStyle name="DEPRECATED Manual Check For Out-style" pivot="0" count="4" xr9:uid="{00000000-0011-0000-FFFF-FFFF02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ocumenttasks/documenttask1.xml><?xml version="1.0" encoding="utf-8"?>
<Tasks xmlns="http://schemas.microsoft.com/office/tasks/2019/documenttasks">
  <Task id="{E117D996-F667-4661-ADAC-574272497EA0}">
    <Anchor>
      <Comment id="{069DA2D0-0C2E-48D0-9CAF-83FB607CED0D}"/>
    </Anchor>
    <History>
      <Event time="2026-02-27T01:09:36.0" id="{194997D0-D0F2-49F5-BBFA-484E676AF9D9}">
        <Attribution userId="placeholder@email.com" userName="Jin Lee" userProvider="google-sheets"/>
        <Anchor>
          <Comment id="{069DA2D0-0C2E-48D0-9CAF-83FB607CED0D}"/>
        </Anchor>
        <Create/>
      </Event>
      <Event time="2026-02-27T01:09:36.0" id="{46F1B696-F1FF-4787-B935-8E4897C23C6C}">
        <Attribution userId="placeholder@email.com" userName="Jin Lee" userProvider="google-sheets"/>
        <Anchor>
          <Comment id="{069DA2D0-0C2E-48D0-9CAF-83FB607CED0D}"/>
        </Anchor>
        <Assign userId="aakash@lana.eco" userName="aakash@lana.eco" userProvider="google-sheets"/>
      </Event>
    </History>
  </Task>
</Tasks>
</file>

<file path=xl/persons/person.xml><?xml version="1.0" encoding="utf-8"?>
<personList xmlns="http://schemas.microsoft.com/office/spreadsheetml/2018/threadedcomments" xmlns:x="http://schemas.openxmlformats.org/spreadsheetml/2006/main">
  <person displayName="Jin Lee" id="{9FE70389-D16F-42EB-B7AD-72259F692033}" userId="" providerId="google-sheets"/>
  <person displayName="Aakash Dave" id="{DA3E80FD-C27C-4BDB-956E-CE43F63D65CE}" userId="" providerId="google-sheets"/>
  <person displayName="Massimiliano Hasan" id="{83DC0ED5-FCF4-4824-B5FA-26C20F44CE04}" userId="" providerId="google-sheets"/>
  <person displayName="jin@lana.eco" id="{5E1197DB-C80A-44E2-83C5-6D6043A38FC5}" userId="jin@lana.eco" providerId="PeoplePicker"/>
  <person displayName="aakash@lana.eco" id="{39B48998-C814-4538-9527-F86194B66D97}" userId="aakash@lana.eco" providerId="PeoplePicker"/>
  <person displayName="massimiliano@lana.eco" id="{57A3C05A-D6A6-4DBA-9F94-E3EA73987D4E}" userId="massimiliano@lana.eco" providerId="PeoplePicker"/>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100.548204166669" refreshedVersion="8" recordCount="92" xr:uid="{00000000-000A-0000-FFFF-FFFF01000000}">
  <cacheSource type="worksheet">
    <worksheetSource ref="A1:Y93" sheet="Updated Manual Check"/>
  </cacheSource>
  <cacheFields count="25">
    <cacheField name="Datapoint" numFmtId="0">
      <sharedItems/>
    </cacheField>
    <cacheField name="Entity / Breakdown Key" numFmtId="0">
      <sharedItems containsBlank="1"/>
    </cacheField>
    <cacheField name="Primitive / Derived" numFmtId="0">
      <sharedItems containsBlank="1"/>
    </cacheField>
    <cacheField name="Risk Criticality" numFmtId="0">
      <sharedItems containsBlank="1"/>
    </cacheField>
    <cacheField name="Expected Value" numFmtId="0">
      <sharedItems containsBlank="1" containsMixedTypes="1" containsNumber="1" containsInteger="1" minValue="1" maxValue="11"/>
    </cacheField>
    <cacheField name="Expected Count" numFmtId="0">
      <sharedItems containsBlank="1" containsMixedTypes="1" containsNumber="1" containsInteger="1" minValue="0" maxValue="14"/>
    </cacheField>
    <cacheField name="Extracted Value" numFmtId="0">
      <sharedItems containsDate="1" containsMixedTypes="1" minDate="1900-01-08T03:23:13" maxDate="1900-01-05T00:48:05"/>
    </cacheField>
    <cacheField name="Extracted Count" numFmtId="0">
      <sharedItems containsString="0" containsBlank="1" containsNumber="1" containsInteger="1" minValue="0" maxValue="16"/>
    </cacheField>
    <cacheField name="Extraction Status" numFmtId="0">
      <sharedItems/>
    </cacheField>
    <cacheField name="Value Match" numFmtId="0">
      <sharedItems count="8">
        <s v="Wrong"/>
        <s v="Partial"/>
        <s v="Full"/>
        <s v="PARTIAL (core values correct)"/>
        <s v="EXACT"/>
        <s v="MISMATCH"/>
        <s v="NOT_COMPARABLE"/>
        <s v="NO_REFERENCE"/>
      </sharedItems>
    </cacheField>
    <cacheField name="Count Match" numFmtId="0">
      <sharedItems/>
    </cacheField>
    <cacheField name="Expected Source Document" numFmtId="0">
      <sharedItems containsBlank="1"/>
    </cacheField>
    <cacheField name="Retrieved Document" numFmtId="0">
      <sharedItems/>
    </cacheField>
    <cacheField name="Document Match" numFmtId="0">
      <sharedItems/>
    </cacheField>
    <cacheField name="Expected Category" numFmtId="0">
      <sharedItems containsBlank="1"/>
    </cacheField>
    <cacheField name="Retrieved Category" numFmtId="0">
      <sharedItems/>
    </cacheField>
    <cacheField name="Category Match" numFmtId="0">
      <sharedItems/>
    </cacheField>
    <cacheField name="Evidence Present in Chunk" numFmtId="0">
      <sharedItems/>
    </cacheField>
    <cacheField name="Primary Error Category" numFmtId="0">
      <sharedItems count="49">
        <s v="Incomplete Multi-Entity Extraction"/>
        <s v="Scope Expansion / Over-extraction"/>
        <s v="None"/>
        <s v="Wrong Legal Entity Selection"/>
        <s v="ENTITY_RESOLUTION"/>
        <s v="NO_ERROR"/>
        <s v="SCOPE_DRIFT"/>
        <s v="MULTI_VALUE_COLLAPSE"/>
        <s v="SCOPE_EXPANSION"/>
        <s v="RETRIEVAL_INSUFFICIENCY"/>
        <s v="ENTITY_CONFUSION"/>
        <s v="WRONG_DOCUMENT_SELECTION"/>
        <s v="RETRIEVAL_FAILURE"/>
        <s v="NO_REFERENCE_BASELINE"/>
        <s v="SEMANTIC_SCOPE_MISMATCH"/>
        <s v="CLAUSE_MISINTERPRETATION"/>
        <s v="DIMENSIONAL_MISMATCH"/>
        <s v="INCOMPLETE_ENTITY_ENUMERATION"/>
        <s v="DERIVATION_FAILURE"/>
        <s v="ENTITY_MISALIGNMENT"/>
        <s v="INCOMPLETE_MULTI_CONTRACT_COVERAGE"/>
        <s v="MINOR_ENTITY_OMISSION"/>
        <s v="MULTI_CONTRACT_PRICING_OMISSION"/>
        <s v="CRITICAL_EXTRACTION_FAILURE"/>
        <s v="SCOPE_MISALIGNMENT"/>
        <s v="TEMPORAL_DIMENSION_OMISSION"/>
        <s v="ENTITY_LEVEL_MISALIGNMENT"/>
        <s v="TEMPORAL_AND_MULTI_ENTITY_OMISSION"/>
        <s v="METRIC_MISINTERPRETATION"/>
        <s v="FINANCIAL_LINE_ITEM_EXTRACTION_FAILURE"/>
        <s v="MODEL_NAVIGATION_FAILURE"/>
        <s v="CLAUSE_COMPLETENESS_OMISSION"/>
        <s v="UNIT_SCALING_DISTORTION"/>
        <s v="DEFINITION_MISINTERPRETATION"/>
        <s v="WRONG_SHEET_SELECTION"/>
        <s v="FORMULA_STRUCTURING_VARIANCE"/>
        <s v="STRUCTURAL_COLLAPSE"/>
        <s v="MULTI_VALUE_OMISSION"/>
        <s v="INTERPRETATION_OVERCOMPLICATION"/>
        <s v="ENTITY_RESOLUTION_ERROR"/>
        <s v="DERIVATION_NOT_PERFORMED"/>
        <s v="WRONG_ROW_SELECTION"/>
        <s v="WRONG_SOURCE_SELECTION"/>
        <s v="OVER_SPECIFICATION"/>
        <s v="UNIT_NORMALIZATION"/>
        <s v="SIGN_NORMALIZATION"/>
        <s v="FORMULA_MISAPPLICATION"/>
        <s v="TIME_SCOPE_ERROR"/>
        <s v="FORMAT_NORMALIZATION"/>
      </sharedItems>
    </cacheField>
    <cacheField name="RAG Layer Affected" numFmtId="0">
      <sharedItems/>
    </cacheField>
    <cacheField name="RAG Layer Group" numFmtId="0">
      <sharedItems count="5">
        <s v="Extraction"/>
        <s v="None"/>
        <s v="Retrieval"/>
        <s v="everything else"/>
        <s v="Interpretation"/>
      </sharedItems>
    </cacheField>
    <cacheField name="Root Cause Hypothesis" numFmtId="0">
      <sharedItems/>
    </cacheField>
    <cacheField name="Severity" numFmtId="0">
      <sharedItems count="7">
        <s v="Medium"/>
        <s v="Low–Medium"/>
        <s v="None"/>
        <s v="HIGH"/>
        <s v="Low"/>
        <s v="VERY HIGH"/>
        <s v="CRITICAL"/>
      </sharedItems>
    </cacheField>
    <cacheField name="Fix Priority" numFmtId="0">
      <sharedItems/>
    </cacheField>
    <cacheField name="Note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100.548204166669" refreshedVersion="8" recordCount="92" xr:uid="{00000000-000A-0000-FFFF-FFFF00000000}">
  <cacheSource type="worksheet">
    <worksheetSource ref="A1:U93" sheet="output"/>
  </cacheSource>
  <cacheFields count="21">
    <cacheField name="datapoint" numFmtId="0">
      <sharedItems/>
    </cacheField>
    <cacheField name="label" numFmtId="0">
      <sharedItems/>
    </cacheField>
    <cacheField name="extracted_value" numFmtId="0">
      <sharedItems containsDate="1" containsMixedTypes="1" minDate="1900-01-08T03:23:13" maxDate="1899-12-30T00:00:00"/>
    </cacheField>
    <cacheField name="confidence" numFmtId="0">
      <sharedItems/>
    </cacheField>
    <cacheField name="expected_data_type" numFmtId="0">
      <sharedItems count="5">
        <s v="int"/>
        <s v="string"/>
        <s v="float"/>
        <s v="date"/>
        <s v="array"/>
      </sharedItems>
    </cacheField>
    <cacheField name="source_reference" numFmtId="0">
      <sharedItems/>
    </cacheField>
    <cacheField name="document_source" numFmtId="0">
      <sharedItems/>
    </cacheField>
    <cacheField name="document_category" numFmtId="0">
      <sharedItems count="7">
        <s v="08. Operations &amp; Management"/>
        <s v="02. Financials &amp; Commercial"/>
        <s v="07. Engineering, Procurement &amp; Construction"/>
        <s v="05. Feedstock"/>
        <s v="09. Offtake"/>
        <s v="06. Technology"/>
        <s v="03. Site, Land &amp; Access Rights"/>
      </sharedItems>
    </cacheField>
    <cacheField name="risk_oracle_name" numFmtId="0">
      <sharedItems/>
    </cacheField>
    <cacheField name="risk_oracle_category" numFmtId="0">
      <sharedItems count="7">
        <s v="Feedstock"/>
        <s v="Construction"/>
        <s v="urance"/>
        <s v="Offtake"/>
        <s v="Offtaker"/>
        <s v="Technology"/>
        <s v="Overall"/>
      </sharedItems>
    </cacheField>
    <cacheField name="dimensions" numFmtId="0">
      <sharedItems containsBlank="1"/>
    </cacheField>
    <cacheField name="notes" numFmtId="0">
      <sharedItems/>
    </cacheField>
    <cacheField name="pec_answer" numFmtId="0">
      <sharedItems containsBlank="1" containsMixedTypes="1" containsNumber="1" containsInteger="1" minValue="1" maxValue="11"/>
    </cacheField>
    <cacheField name="chunks_retrieved" numFmtId="0">
      <sharedItems containsSemiMixedTypes="0" containsString="0" containsNumber="1" containsInteger="1" minValue="0" maxValue="10"/>
    </cacheField>
    <cacheField name="extracted_at" numFmtId="0">
      <sharedItems/>
    </cacheField>
    <cacheField name="match_status" numFmtId="0">
      <sharedItems count="6">
        <s v="PARTIAL_MATCH"/>
        <s v="NO_REFERENCE"/>
        <s v="EXACT_MATCH"/>
        <s v="MISMATCH"/>
        <s v="BOTH_NOT_FOUND"/>
        <s v="NOT_COMPARABLE"/>
      </sharedItems>
    </cacheField>
    <cacheField name="accuracy_score" numFmtId="0">
      <sharedItems containsString="0" containsBlank="1" containsNumber="1" minValue="0" maxValue="1"/>
    </cacheField>
    <cacheField name="extraction_success" numFmtId="0">
      <sharedItems count="2">
        <b v="1"/>
        <b v="0"/>
      </sharedItems>
    </cacheField>
    <cacheField name="type_valid" numFmtId="0">
      <sharedItems/>
    </cacheField>
    <cacheField name="comparison_explanation" numFmtId="0">
      <sharedItems/>
    </cacheField>
    <cacheField name="has_source_referenc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
  <r>
    <s v="Annual Throughput Entitlement for Feedstock"/>
    <s v="per project, per feedstock"/>
    <s v="Primitive"/>
    <s v="Medium"/>
    <s v="condensate - 9,840,000_x000a_ total for sour naphtha, paraxylene, benzene, jet kerosene, diesel, light naphtha, low sulfur fuel oil = 10,300,000_x000a_ propane &amp; butane 554,268"/>
    <n v="3"/>
    <n v="10300000"/>
    <n v="1"/>
    <s v="Extracted"/>
    <x v="0"/>
    <s v="Partial"/>
    <s v="Terminal Service Agreement (TSA)"/>
    <s v="Terminal Service Agreement (TSA)"/>
    <s v="Correct"/>
    <s v="08. Operations &amp; Management"/>
    <s v="08. Operations &amp; Management"/>
    <s v="Correct"/>
    <s v="YES"/>
    <x v="0"/>
    <s v="Extraction Prompt Layer"/>
    <x v="0"/>
    <s v="The model:_x000a__x000a_Collapsed a multi-entity datapoint into a single numeric scalar._x000a__x000a_Picked one subgroup (10.3M) and ignored the others._x000a__x000a_It's is not a retrieval failure._x000a_The TSA document was correct._x000a_The issue is multi-value aggregation logic._x000a__x000a__x000a_Prompt optimize"/>
    <x v="0"/>
    <s v="High"/>
    <s v="Ground Truth (PEC)_x000a__x000a_Three separate entitlements:_x000a__x000a_Condensate → 9,840,000_x000a__x000a_Other products total → 10,300,000_x000a__x000a_Propane &amp; butane → 554,268_x000a__x000a_Extracted_x000a__x000a_10,300,000 (single value only)"/>
  </r>
  <r>
    <s v="Annual Throughput Entitlement Units"/>
    <s v="per project, per feedstock"/>
    <s v="Primitive"/>
    <s v="Medium"/>
    <s v="m^3 for condensate, and all other products"/>
    <m/>
    <s v="m3 (for Feedstock, Petrochemicals and Refined Petroleum); metric ton (for LPG)"/>
    <m/>
    <s v="Extracted"/>
    <x v="1"/>
    <s v="Full"/>
    <s v="Terminal Service Agreement (TSA)"/>
    <s v="Terminal Service Agreement (TSA)"/>
    <s v="Correct"/>
    <s v="08. Operations &amp; Management"/>
    <s v="08. Operations &amp; Management"/>
    <s v="Correct"/>
    <s v="YES"/>
    <x v="1"/>
    <s v="Extraction Prompt Layer"/>
    <x v="0"/>
    <s v="The model added LPG unit._x000a_PEC definition scope appears to be feedstock entitlement only, not LPG._x000a__x000a_This is a scope over-expansion error._x000a__x000a_Not retrieval. Not chunking._x000a_Claude overgeneralized from same schedule._x000a__x000a_Prompt does not constrain answer strictly to"/>
    <x v="1"/>
    <s v="Medium"/>
    <s v="Ground Truth_x000a__x000a_m³ for condensate and all other products_x000a__x000a_Extracted_x000a__x000a_m³ for Feedstock, Petrochemicals and Refined Petroleum_x000a__x000a_metric ton for LPG_x000a__x000a_Unit logic correct but scope drift introduced LPG"/>
  </r>
  <r>
    <s v="Commercial Operation Date"/>
    <s v="per project"/>
    <s v="Primitive"/>
    <s v="Medium"/>
    <s v="From Project Finance Model - Dashboard, G21 = 1/1/2030"/>
    <m/>
    <d v="2030-01-01T00:00:00"/>
    <m/>
    <s v="Extracted"/>
    <x v="2"/>
    <s v="Full"/>
    <s v="Project Finance Model"/>
    <s v="Project Finance Model"/>
    <s v="Correct"/>
    <s v="02. Financials &amp; Commercial"/>
    <s v="02. Financials &amp; Commercial"/>
    <s v="Correct"/>
    <s v="YES"/>
    <x v="2"/>
    <s v="None (Financial Model direct lookup worked)"/>
    <x v="1"/>
    <s v="N/A"/>
    <x v="2"/>
    <s v="None"/>
    <s v="Ground Truth_x000a__x000a_1/1/2030 (Dashboard G21)_x000a__x000a_Extracted_x000a__x000a_2030-01-01"/>
  </r>
  <r>
    <s v="EPCC Book Value of Equity"/>
    <s v="per year"/>
    <s v="Derived"/>
    <s v="Medium"/>
    <s v="CNCC _x000a_ _x000a_ 47.11.6.1 2022.pdf - Total Shareholders' Equity - not available_x000a_ _x000a_ 47.11.6.2 2024.pdf - Total Shareholders' Equity - pg10, 64,072,162,061.48 CNY_x000a_ _x000a_ 47.11.6.3 2024.pdf - Total Shareholders' Equity - pg10, 68,897,813,204.52 CNY"/>
    <m/>
    <s v="{'2023': 301188938.16, '2022': 'NOT_FOUND'}"/>
    <m/>
    <s v="Extracted"/>
    <x v="0"/>
    <s v="Partial"/>
    <s v="EPCC 3 years Audited financial statement"/>
    <s v="EPCC 3 years Audited financial statement"/>
    <s v="Correct"/>
    <s v="07. Engineering, Procurement &amp; Construction"/>
    <s v="07. Engineering, Procurement &amp; Construction"/>
    <s v="Correct"/>
    <s v="YES (but wrong entity)"/>
    <x v="3"/>
    <s v="Retrieval Filtering Layer"/>
    <x v="2"/>
    <s v="The model:_x000a_Retrieved correct category (EPCC audited FS)_x000a_But selected wrong legal entity (subsidiary vs CNCC parent)_x000a__x000a_This is not a hallucination._x000a_This is Entity Disambiguation Failure._x000a_-------_x000a__x000a_Entity name resolution not constrained to CNCC; model selecte"/>
    <x v="3"/>
    <s v="CRITICAL"/>
    <s v="Ground Truth_x000a__x000a_CNCC consolidated:_x000a__x000a_64B CNY_x000a__x000a_68B CNY_x000a__x000a_Extracted_x000a__x000a_301M RMB (subsidiary International Corp)_x000a__x000a_This is a critical entity resolution failure._x000a__x000a_----_x000a__x000a_Financial magnitude difference (millions vs billions) indicates entity misalignment"/>
  </r>
  <r>
    <s v="EPCC Current Assets"/>
    <s v="per year"/>
    <s v="Primitive"/>
    <s v="Medium"/>
    <s v="CNCC _x000a_ _x000a_ 47.11.6.1 2022.pdf - Current Asset - not available_x000a_ _x000a_ 47.11.6.2 2024.pdf - Current Asset (2023) - pg9, 169,386,418,650.81 CNY_x000a_ 47.11.6.2 2023.pdf_x000a_ - Current Asset (2023) - pg 6, 1,379,976,925.35_x000a_ *values are different*_x000a_ _x000a_ 47.11.6.3 2024.pdf - Cur"/>
    <m/>
    <n v="1379976925"/>
    <m/>
    <s v="Extracted"/>
    <x v="0"/>
    <s v="Partial"/>
    <s v="EPCC 3 years Audited financial statement"/>
    <s v="EPCC 3 years Audited financial statement"/>
    <s v="Correct"/>
    <s v="07. Engineering, Procurement &amp; Construction"/>
    <s v="07. Engineering, Procurement &amp; Construction"/>
    <s v="Correct"/>
    <s v="YES"/>
    <x v="3"/>
    <s v="Retrieval Filtering Layer"/>
    <x v="2"/>
    <s v="- entity resolution logic is weak for financial statements._x000a_- Query did not enforce CNCC parent entity; retrieved subsidiary financials"/>
    <x v="3"/>
    <s v="CRITICAL"/>
    <s v="Ground Truth_x000a__x000a_CNCC consolidated:_x000a__x000a_169B_x000a__x000a_175B_x000a__x000a_1.37B (subsidiary)_x000a__x000a_conflicting values_x000a__x000a_Extracted_x000a__x000a_1.37B (subsidiary again)_x000a_----_x000a__x000a_Repeated pattern across multiple EPCC datapoints"/>
  </r>
  <r>
    <s v="EPCC Current Liabilities"/>
    <s v="per year"/>
    <s v="Primitive"/>
    <s v="Medium"/>
    <s v="CNCC _x000a_ _x000a_ 47.11.6.1 2022.pdf - Current Liabilities - not available _x000a_ _x000a_ 47.11.6.2 2024.pdf - Current Liabilities (2023) - pg10, 143,546,048,214.48_x000a_ 47.11.6.2 2023.pdf_x000a_ - Current Liabilities (2023) - pg 7, 1,080,653,591.04_x000a_ *values are different*_x000a_ _x000a_ 47.11.6."/>
    <m/>
    <s v="{'2023': 1080653591.04, '2024': 155584305557.49}"/>
    <m/>
    <s v="Extracted"/>
    <x v="0"/>
    <s v="Partial"/>
    <s v="EPCC 3 years Audited financial statement"/>
    <s v="EPCC 3 years Audited financial statement"/>
    <s v="Correct"/>
    <s v="07. Engineering, Procurement &amp; Construction"/>
    <s v="07. Engineering, Procurement &amp; Construction"/>
    <s v="Correct"/>
    <s v="YES"/>
    <x v="4"/>
    <s v="Retrieval Filtering Layer"/>
    <x v="2"/>
    <s v="No deterministic entity constraint → parent and subsidiary values mixed"/>
    <x v="3"/>
    <s v="CRITICAL"/>
    <s v="Extracted:_x000a_2023 → 1,080,653,591.04 (subsidiary)_x000a_2024 → 155,584,305,557.49 (parent)_x000a__x000a_Ground truth includes:_x000a_143B (parent 2023)_x000a_1.08B (subsidiary 2023)_x000a_155.584303557.49 (parent 2024)_x000a__x000a_Issues:_x000a_Mixed entities again._x000a_2024 value off by 2,000 (minor numeric drif"/>
  </r>
  <r>
    <s v="EPCC EBIT"/>
    <m/>
    <m/>
    <m/>
    <m/>
    <m/>
    <s v="NOT_FOUND"/>
    <m/>
    <s v="Extracted"/>
    <x v="2"/>
    <s v="Full"/>
    <m/>
    <s v="EPCC 3 years Audited financial statement"/>
    <s v="None"/>
    <m/>
    <s v="07. Engineering, Procurement &amp; Construction"/>
    <s v="Incorrect"/>
    <s v="YES (income statements present)"/>
    <x v="5"/>
    <s v="None"/>
    <x v="1"/>
    <s v="N/A"/>
    <x v="2"/>
    <s v="None"/>
    <s v="PEC answer is blank. No reference._x000a_Extraction = NOT_FOUND._x000a__x000a_This is correct behavior."/>
  </r>
  <r>
    <s v="EPCC Retained Earnings"/>
    <s v="per year"/>
    <s v="Primitive"/>
    <s v="Medium"/>
    <s v="CNCC _x000a_ _x000a_ 47.11.6.1 2022.pdf - Current Retained Earnings - not available._x000a_ _x000a_ 47.11.6.2 2023.pdf - Retained Earnings - pg7, 1,383,569,761.23 _x000a_ _x000a_ 47.11.6.3 2024.pdf - Retained Earnings - pg 10, 62,"/>
    <m/>
    <s v="{'2023': 1188938.16, '2024': 37916600218.18, '2022': 'NOT_FOUND'}"/>
    <m/>
    <s v="Extracted"/>
    <x v="0"/>
    <s v="Partial"/>
    <s v="EPCC 3 years Audited financial statement"/>
    <s v="EPCC 3 years Audited financial statement"/>
    <s v="Correct"/>
    <s v="07. Engineering, Procurement &amp; Construction"/>
    <s v="07. Engineering, Procurement &amp; Construction"/>
    <s v="Correct"/>
    <s v="YES"/>
    <x v="4"/>
    <s v="Retrieval Filtering Layer_x000a_----_x000a_Ambiguity in EPCC definition → subsidiary selected for some years"/>
    <x v="2"/>
    <s v="Again:_x000a_Entity mixing_x000a_Wrong 2023 value (huge magnitude mismatch)"/>
    <x v="3"/>
    <s v="CRITICAL"/>
    <s v="Ground truth (CNCC parent):_x000a__x000a_2023 → 1,383,569,761.23_x000a_2024 → (incomplete in PEC but clearly large parent value)_x000a_2022 → not available_x000a__x000a_Extracted:_x000a__x000a_2023 → 1,188,938.16 (subsidiary)_x000a_2024 → 37B (parent)_x000a_2022 → NOT_FOUND_x000a__x000a_----_x000a_Third recurrence of same EPC entit"/>
  </r>
  <r>
    <s v="EPCC Total Assets"/>
    <s v="per year"/>
    <s v="Primitive"/>
    <s v="Medium"/>
    <s v="CNCC _x000a_ _x000a_ 47.11.6.1 2022.pdf - Total Assets - not available_x000a_ _x000a_ 47.11.6.2 2023.pdf - Total Assets - pg6, 1,383,569,761.23_x000a_ _x000a_ 47.11.6.3 2024.pdf - Total Assets - pg 9, 233,421,377,309.40"/>
    <m/>
    <s v="{'2024': 233421377309.4, '2023': 1383569761.23, '2022': 'NOT_FOUND'}"/>
    <m/>
    <s v="Extracted"/>
    <x v="2"/>
    <s v="Full"/>
    <s v="EPCC 3 years Audited financial statement"/>
    <s v="EPCC 3 years Audited financial statement"/>
    <s v="Correct"/>
    <s v="07. Engineering, Procurement &amp; Construction"/>
    <s v="07. Engineering, Procurement &amp; Construction"/>
    <s v="Correct"/>
    <s v="YES"/>
    <x v="5"/>
    <s v="None"/>
    <x v="1"/>
    <s v="N/A"/>
    <x v="2"/>
    <s v="None"/>
    <s v="Ground truth:_x000a__x000a_2023 → 1.38B (subsidiary)_x000a_2024 → 233B (parent)_x000a_2022 → not available_x000a__x000a_Extracted:_x000a_Matches all three exactly._x000a__x000a_Even though entity attribution commentary is confused,_x000a_the numbers match PEC."/>
  </r>
  <r>
    <s v="Expected Construction Period"/>
    <s v="per project"/>
    <s v="Primitive"/>
    <s v="Medium"/>
    <s v="From Project Finance Model - Dashboard, G19 = 45 months"/>
    <m/>
    <n v="45"/>
    <m/>
    <s v="Extracted"/>
    <x v="2"/>
    <s v="Full"/>
    <s v="Project Finance Model"/>
    <s v="Project Finance Model"/>
    <s v="Correct"/>
    <s v="02. Financials &amp; Commercial"/>
    <s v="02. Financials &amp; Commercial"/>
    <s v="Correct"/>
    <s v="YES"/>
    <x v="5"/>
    <s v="None (Financial Model path works)"/>
    <x v="1"/>
    <s v="N/A"/>
    <x v="2"/>
    <s v="None"/>
    <s v="Ground truth: 45 months_x000a_Extracted: 45"/>
  </r>
  <r>
    <s v="Expected Construction Start Date"/>
    <s v="per project"/>
    <s v="Primitive"/>
    <s v="Medium"/>
    <s v="From Project Finance Model - Dashboard, G18 = 4/1/2026"/>
    <m/>
    <d v="2026-04-01T00:00:00"/>
    <m/>
    <s v="Extracted"/>
    <x v="2"/>
    <s v="Full"/>
    <s v="Project Finance Model"/>
    <s v="Project Finance Model"/>
    <s v="Correct"/>
    <s v="02. Financials &amp; Commercial"/>
    <s v="02. Financials &amp; Commercial"/>
    <s v="Correct"/>
    <s v="YES"/>
    <x v="5"/>
    <s v="None"/>
    <x v="1"/>
    <s v="N/A"/>
    <x v="2"/>
    <s v="None"/>
    <s v="Ground truth: 4/1/2026_x000a_Extracted: 2026-04-01"/>
  </r>
  <r>
    <s v="Feedstock Baseline Price"/>
    <s v="per supplier per contract"/>
    <s v="Primitive"/>
    <s v="Medium"/>
    <s v="Shell - No answer, equinor, no answer_x000a_ _x000a_ equinor - no answer."/>
    <m/>
    <s v="NOT_FOUND"/>
    <m/>
    <s v="Extracted"/>
    <x v="2"/>
    <s v="Full"/>
    <s v="Feedstock Supply Agreements"/>
    <s v="Feedstock Supply Agreements"/>
    <s v="Correct"/>
    <s v="05. Feedstock"/>
    <s v="05. Feedstock"/>
    <s v="Correct"/>
    <s v="YES"/>
    <x v="5"/>
    <s v="None"/>
    <x v="1"/>
    <s v="N/A"/>
    <x v="2"/>
    <s v="None"/>
    <s v="Ground truth: No answer_x000a_Extracted: NOT_FOUND"/>
  </r>
  <r>
    <s v="Feedstock Buyer Entity"/>
    <s v="per feedstock contract"/>
    <s v="Primitive"/>
    <s v="Medium"/>
    <s v="Pengerang Energy Complex Sdn Bhd, pg 1, _x000a_ _x000a_ File - 47.2.1.1.1 Commercial Term Sheet Shell - Feedstock.docx"/>
    <m/>
    <s v="Pengerang Product Supply and Trading Organisation Pte. Ltd. (PSTO); Pengerang Energy Complex Sdn Bhd (PEC); Pengerang Energy Complex Sdn Bhd (PEC)"/>
    <m/>
    <s v="Extracted"/>
    <x v="0"/>
    <s v="Full"/>
    <s v="Feedstock Supply Agreements"/>
    <s v="Feedstock Supply Agreements"/>
    <s v="Correct"/>
    <s v="05. Feedstock"/>
    <s v="05. Feedstock"/>
    <s v="Correct"/>
    <s v="YES"/>
    <x v="6"/>
    <s v="Extraction Prompt Layer"/>
    <x v="0"/>
    <s v="Not retrieval error._x000a_Not entity confusion._x000a_It retrieved correct docs._x000a_Prompt allowed aggregation across contracts._x000a_----------_x000a_Prompt does not restrict answer to specific referenced file"/>
    <x v="0"/>
    <s v="High"/>
    <s v="Ground truth:_x000a_Only from 47.2.1.1.1 Commercial Term Sheet Shell → PEC entity only_x000a__x000a_Extracted:_x000a_Added PSTO_x000a_Added duplicate PEC_x000a_Mixed multiple contracts"/>
  </r>
  <r>
    <s v="Feedstock Buyer's Option Percentage"/>
    <s v="per feedstock contract_x000a_ per feedstock"/>
    <s v="Primitive"/>
    <s v="Medium"/>
    <s v="File - 47.2.1.1.1 Commercial Term Sheet Shell - Feedstock.docx, pg 2_x000a_ _x000a_ Answer: condensate +/- 10% _x000a_ _x000a_ naphtha +/- 10% _x000a_ _x000a_ equinor:"/>
    <n v="2"/>
    <s v="±10%"/>
    <n v="1"/>
    <s v="Extracted"/>
    <x v="1"/>
    <s v="Partial"/>
    <s v="Feedstock Supply Agreements"/>
    <s v="Feedstock Supply Agreements"/>
    <s v="Correct"/>
    <s v="05. Feedstock"/>
    <s v="05. Feedstock"/>
    <s v="Correct"/>
    <s v="YES"/>
    <x v="7"/>
    <s v="Extraction Prompt Layer"/>
    <x v="0"/>
    <s v="Correct % value (10%)_x000a_But collapsed to single scalar_x000a_Did not explicitly output per-feedstock structure_x000a_Introduced Equinor operational tolerance (not required)_x000a_---_x000a_Multi-value collapsed into scalar_x000a_Lost feedstock dimension_x000a_Slight scope drift by referencing"/>
    <x v="0"/>
    <s v="High"/>
    <s v="Ground Truth (PEC)_x000a_From:_x000a_47.2.1.1.1 Commercial Term Sheet Shell - Feedstock.docx, pg 2_x000a_Condensate → ±10%_x000a_Naphtha → ±10%_x000a_Equinor → (blank / no answer)_x000a_So PEC expects feedstock-level breakdown_x000a_---_x000a_Correct % but structural loss of dimension_x000a__x000a_Extracted - ±10%"/>
  </r>
  <r>
    <s v="Feedstock Cargo Volume Seller's Option Percentage"/>
    <s v="per feedstock contract, per feedstock, per delivery channel"/>
    <s v="Derived"/>
    <s v="Medium"/>
    <s v="File - 47.2.1.1.1 Commercial Term Sheet Shell - Feedstock.docx, pg 4_x000a_ _x000a_ Answer: Condensate, +/- 5% _x000a_ _x000a_ naphtha +/- 10% _x000a_ _x000a_ equinor"/>
    <n v="2"/>
    <s v="Condensate FIP: ±5%; Condensate DAP: ±5%; Full Range Naphtha FIP: ±10%; Full Range Naphtha DAP: ±10%"/>
    <n v="4"/>
    <s v="Extracted"/>
    <x v="3"/>
    <s v="OVER"/>
    <s v="Feedstock Supply Agreements"/>
    <s v="Feedstock Supply Agreements"/>
    <s v="Correct"/>
    <s v="05. Feedstock"/>
    <s v="05. Feedstock"/>
    <s v="Correct"/>
    <s v="YES"/>
    <x v="8"/>
    <s v="Extraction Prompt Layer"/>
    <x v="0"/>
    <s v="Dimensional over-expansion_x000a_Over-detailed output_x000a_Count inflation_x000a__x000a_----_x000a__x000a_Model expanded answer across delivery channel dimension"/>
    <x v="0"/>
    <s v="Medium"/>
    <s v="From:_x000a_47.2.1.1.1 Commercial Term Sheet Shell - Feedstock.docx, pg 4_x000a_Condensate → ±5%_x000a_Naphtha → ±10%_x000a_Equinor → blank_x000a_No delivery channel breakdown required_x000a__x000a_Extracted:_x000a_Condensate FIP ±5%_x000a_Condensate DAP ±5%_x000a_Naphtha FIP ±10%_x000a_Naphtha DAP ±10%_x000a__x000a_---_x000a__x000a_Correct nu"/>
  </r>
  <r>
    <s v="Feedstock Contract Expected Initial Delivery Date"/>
    <s v="per contract"/>
    <s v="Primitive"/>
    <s v="Medium"/>
    <s v="Shell - no answer."/>
    <n v="0"/>
    <s v="NOT_FOUND"/>
    <n v="0"/>
    <s v="Extracted"/>
    <x v="4"/>
    <s v="Full"/>
    <s v="Feedstock Supply Agreements"/>
    <s v="Feedstock Supply Agreements"/>
    <s v="Correct"/>
    <s v="05. Feedstock"/>
    <s v="05. Feedstock"/>
    <s v="Correct"/>
    <s v="YES"/>
    <x v="5"/>
    <s v="None"/>
    <x v="1"/>
    <s v="N/A"/>
    <x v="2"/>
    <s v="None"/>
    <s v="Ground Truth (PEC)_x000a_Shell – no answer._x000a_---_x000a_Extracted_x000a_NOT_FOUND"/>
  </r>
  <r>
    <s v="Feedstock Contract Pricing Formula"/>
    <s v="per feedstock contract _x000a_ per feedstock"/>
    <s v="Primitive"/>
    <s v="Medium"/>
    <s v="File - 47.2.1.1.1 Commercial Term Sheet Shell - Feedstock.docx, pg 8_x000a_ _x000a_ 'Price Formula = A + B + C', where A = benchmark, B = Premium/discount_x000a_ C = &quot;others'"/>
    <n v="1"/>
    <s v="Price Formula = A + B + C, where A = Pricing benchmark (Condensate: Platts Dated Brent month average or Platts Dubai average or WTI of the Feedstock Delivery Month; Full Range Naphtha: Platts Monthly Average of MOPJ Naphtha of the Feedstock Delivery Month"/>
    <n v="1"/>
    <s v="Extracted"/>
    <x v="4"/>
    <s v="Full"/>
    <s v="Feedstock Supply Agreements"/>
    <s v="Feedstock Supply Agreements"/>
    <s v="Correct"/>
    <s v="05. Feedstock"/>
    <s v="05. Feedstock"/>
    <s v="Correct"/>
    <s v="YES"/>
    <x v="5"/>
    <s v="None"/>
    <x v="1"/>
    <s v="N/A"/>
    <x v="2"/>
    <s v="None"/>
    <s v="Ground Truth (PEC)_x000a_From:_x000a_47.2.1.1.1 Commercial Term Sheet Shell - Feedstock.docx, pg 8_x000a__x000a_Expected:_x000a_Price Formula = A + B + C_x000a_---_x000a_Extracted: _x000a_Correct A+B+C_x000a_Detailed explanation_x000a_Additional Equinor references_x000a__x000a_Extra detail"/>
  </r>
  <r>
    <s v="Feedstock Contract Pricing Formula Components"/>
    <s v="per feedstock contract_x000a_ per feedstock"/>
    <s v="Primitive"/>
    <s v="Medium"/>
    <s v="File - 47.2.1.1.1 Commercial Term Sheet Shell - Feedstock.docx, pg 8_x000a_ _x000a_ 'Price Formula = A + B + C', where A = benchmark, B = Premium/discount_x000a_ C = &quot;others', and for this answer we want the details of A,B,C, which are (see pg 8 of contract for long detail"/>
    <n v="2"/>
    <s v="Price Formula = A + B + C. Component A (Pricing benchmark): Condensate - Platts Dated Brent month average or Platts Dubai average or WTI of the Feedstock Delivery Month; Full Range Naphtha - Platts Monthly Average of MOPJ Naphtha of the Feedstock Delivery"/>
    <n v="1"/>
    <s v="Extracted"/>
    <x v="1"/>
    <s v="Partial"/>
    <s v="Feedstock Supply Agreements"/>
    <s v="Feedstock Supply Agreements"/>
    <s v="Correct"/>
    <s v="05. Feedstock"/>
    <s v="05. Feedstock"/>
    <s v="Correct"/>
    <s v="YES (Shell only)"/>
    <x v="9"/>
    <s v="Retrieval Layer"/>
    <x v="2"/>
    <s v="Manual Assessment_x000a_Shell portion fully correct_x000a_Equinor formula missing_x000a_Incomplete multi-contract coverage_x000a__x000a_Issues:_x000a_Retrieval insufficiency_x000a_Missing Equinor pricing formula section_x000a__x000a_IG - Equinor pricing section not retrieved in top-k chunks"/>
    <x v="0"/>
    <s v="High"/>
    <s v="Ground Truth (PEC):_x000a_Expected two components:_x000a_Shell: A, B, C detailed_x000a_Equinor: P = (PM + AD) L_x000a__x000a_PM = pricing marker_x000a_AD = applicable differential_x000a_L = loss factor_x000a_----_x000a__x000a_Extracted:_x000a_Shell A, B, C detailed_x000a_Equinor formula NOT extracted_x000a__x000a_Clear missing Equinor pr"/>
  </r>
  <r>
    <s v="Feedstock Contract Term"/>
    <s v="per feedstock contract"/>
    <s v="Primitive"/>
    <s v="Medium"/>
    <s v="47.2.1.1.1 Commercial Term Sheet Shell - Feedstock.docx, pg1_x000a_ _x000a_ 1. Shell - Condensate - 12 years_x000a_ 2. Shell - Naphtha - 12 Years_x000a_ _x000a_ 47.2.2.1.1 Equinor - Feedstock Sale and Product Purchase Agreement (EXECUTE.pdf, pg 25, _x000a_ _x000a_ 10 years. for condensate and ful"/>
    <n v="2"/>
    <s v="Shell: 12; Equinor: 10"/>
    <n v="2"/>
    <s v="Extracted"/>
    <x v="4"/>
    <s v="Full"/>
    <s v="Feedstock Supply Agreements"/>
    <s v="Feedstock Supply Agreements"/>
    <s v="Correct"/>
    <s v="05. Feedstock"/>
    <s v="05. Feedstock"/>
    <s v="Correct"/>
    <s v="YES"/>
    <x v="5"/>
    <s v="None"/>
    <x v="1"/>
    <s v="Manual Assessment_x000a_Fully correct_x000a_Correct per-contract breakdown_x000a_No over/under extraction_x000a__x000a_Issues_x000a_None."/>
    <x v="2"/>
    <s v="None"/>
    <s v="Ground Truth (PEC)_x000a_Shell:_x000a_Condensate → 12 years_x000a_Naphtha → 12 years_x000a__x000a_Equinor:_x000a_Condensate → 10 years_x000a_Naphtha → 10 years_x000a_---_x000a__x000a_Extracted:_x000a_Shell: 12; Equinor: 10_x000a__x000a_Correct per-contract extraction"/>
  </r>
  <r>
    <s v="Feedstock Contract Term End Year"/>
    <s v="per supplier per contract"/>
    <s v="Primitive"/>
    <s v="Medium"/>
    <s v="Shell - no answer"/>
    <n v="1"/>
    <s v="Equinor: 10th anniversary of the COD (Commercial Operations Date); Shell/SIETCO (PEC): 12 years from the Start Date or the Full Repayment Date, whichever is later; Shell/SIETCO (PSTO/PEC): 12 years from the Start Date or the Full Repayment Date, whichever"/>
    <n v="0"/>
    <s v="Extracted"/>
    <x v="1"/>
    <s v="Full"/>
    <s v="Feedstock Supply Agreements"/>
    <s v="Feedstock Supply Agreements"/>
    <s v="Correct"/>
    <s v="05. Feedstock"/>
    <s v="05. Feedstock"/>
    <s v="Correct"/>
    <s v="YES"/>
    <x v="8"/>
    <s v="Extraction Prompt Layer"/>
    <x v="0"/>
    <s v="Manual Assessment_x000a_Extractor correctly identified no fixed calendar year._x000a_But instead of returning NOT_FOUND, it returned descriptive term logic._x000a_Added Equinor unnecessarily._x000a_Over-expanded scope._x000a__x000a_Issues_x000a_Did not return NOT_FOUND explicitly._x000a_Scope expansion"/>
    <x v="0"/>
    <s v="Medium"/>
    <s v="Ground Truth (PEC)_x000a_Shell – no answer (no fixed calendar end year)._x000a_Dimension: per supplier per contract._x000a__x000a_So expected:_x000a_Shell → NOT_FOUND_x000a_PEC does NOT require Equinor here (based on answer provided)._x000a__x000a_Extracted:_x000a_Descriptive term language:_x000a_Equinor: 10th ann"/>
  </r>
  <r>
    <s v="Feedstock Contract Term Extension"/>
    <s v="per feedstock contract"/>
    <s v="Primitive"/>
    <s v="Medium"/>
    <s v="&quot;47.2.1.1.1 Commercial Term Sheet Shell - Feedstock.docx, pg1_x000a_ _x000a_ 5 years_x000a_ _x000a_ 47.2.2.1.1 Equinor - Feedstock Sale and Product Purchase Agreement (EXECUTE.pdf, pg 27, _x000a_ _x000a_ term extension: 2 years"/>
    <n v="2"/>
    <n v="5"/>
    <n v="1"/>
    <s v="Extracted"/>
    <x v="1"/>
    <s v="Partial"/>
    <s v="Feedstock Supply Agreements"/>
    <s v="Feedstock Supply Agreements"/>
    <s v="Correct"/>
    <s v="05. Feedstock"/>
    <s v="05. Feedstock"/>
    <s v="Correct"/>
    <s v="YES (Shell only)"/>
    <x v="9"/>
    <s v="Retrieval Layer"/>
    <x v="2"/>
    <s v="Manual Assessment_x000a_Correct Shell extension._x000a_Missed Equinor 2-year extension._x000a_Partial multi-contract extraction._x000a__x000a_Issues_x000a_Missing Equinor extension._x000a_Incomplete multi-contract coverage_x000a__x000a_Equinor Clause 2.4 not retrieved in top-k"/>
    <x v="0"/>
    <s v="High"/>
    <s v="Ground Truth (PEC)_x000a_Shell → 5 years_x000a_Equinor → 2 years_x000a__x000a_Extracted Only:_x000a_5 (Shell)_x000a_Equinor missing._x000a_---_x000a__x000a_Clear missing Equinor component"/>
  </r>
  <r>
    <s v="Feedstock Contract Term Start Year"/>
    <s v="per feedstock contract"/>
    <s v="Derived"/>
    <s v="Medium"/>
    <s v="Shell - no answer"/>
    <n v="1"/>
    <s v="Shell (SIETCO) - PEC/PSTO: Start Date is the 1st Day of the Delivery Month in which the first cargo is delivered after PEC Start Date (no fixed calendar year specified); Equinor - PEC: Effective Date is 2023-03-02 (execution date), with term running from "/>
    <n v="0"/>
    <s v="Extracted"/>
    <x v="1"/>
    <s v="Full"/>
    <s v="Feedstock Supply Agreements"/>
    <s v="Feedstock Supply Agreements"/>
    <s v="Correct"/>
    <s v="05. Feedstock"/>
    <s v="05. Feedstock"/>
    <s v="Correct"/>
    <s v="YES"/>
    <x v="8"/>
    <s v="Extraction Prompt Layer"/>
    <x v="0"/>
    <s v="Manual Assessment_x000a_Correct that no fixed year exists._x000a_Added Equinor unnecessarily._x000a_Over-descriptive._x000a__x000a_Issues_x000a_Scope expansion_x000a_Verbose reasoning instead of NOT_FOUND_x000a__x000a_---_x000a__x000a_Model answers descriptively when date not explicit"/>
    <x v="0"/>
    <s v="Medium"/>
    <s v="Ground Truth (PEC)_x000a_Shell – no answer._x000a_No calendar start year._x000a__x000a_Extracted_x000a_Descriptive:_x000a_Shell start definition_x000a_Equinor effective date 2023-03-02 mentioned_x000a_No calendar year given_x000a__x000a_Should return NOT_FOUND explicitly"/>
  </r>
  <r>
    <s v="Feedstock Contracted Supply Quantity"/>
    <s v="1. annually, quarterly, monthly_x000a_ 2. per feedstock supplier_x000a_ 3. per feedstock type_x000a_ 4. per time period"/>
    <s v="Primitive"/>
    <s v="Medium"/>
    <s v="47.2.1.1.1 Commercial Term Sheet Shell - Feedstock.docx, pg2_x000a_ _x000a_ 1. Shell - Annual Contracted Quantity - Condensate - minimum of 30 million barrels_x000a_ 2. Shell - Annual Contracted Quantity - Naphtha - minimum of 170 KT_x000a_ 3. Shell - Quarterly - Quarterly Contr"/>
    <n v="6"/>
    <s v="Shell/SIETCO - Condensate: 30,000,000 barrels annually (ACQ, ±10%); Shell/SIETCO - Full Range Naphtha: 170,000 MT annually (ACQ, ±10%); Shell/SIETCO - Quarterly (QCQ): Min 95% of 25% of ACQ, Max 105% of 25% of ACQ; Equinor - Condensate: 150,000 barrels/da"/>
    <n v="6"/>
    <s v="Extracted"/>
    <x v="1"/>
    <s v="Full"/>
    <s v="Feedstock Supply Agreements"/>
    <s v="Feedstock Supply Agreements"/>
    <s v="Correct"/>
    <s v="05. Feedstock"/>
    <s v="05. Feedstock"/>
    <s v="Correct"/>
    <s v="YES"/>
    <x v="10"/>
    <s v="Retrieval + Interpretation Layer"/>
    <x v="2"/>
    <s v="Manual Assessment_x000a_Shell fully correct._x000a_Equinor condensate WRONG (150k vs 75k)._x000a_Major factual magnitude error._x000a_Confused facility capacity with contracted supply._x000a__x000a_Issues_x000a_Wrong Equinor condensate value._x000a_Misinterpreted facility capacity as contract quantity."/>
    <x v="3"/>
    <s v="CRITICAL"/>
    <s v="Ground Truth (PEC):_x000a_Shell:_x000a_Condensate → 30M barrels annually_x000a_Naphtha → 170 KT annually_x000a_QCQ min/max rules_x000a__x000a_Equinor:_x000a_Condensate → 75,000 barrels/day_x000a_FRN → 935 MT/day_x000a__x000a_Extracted_x000a_Shell values correct._x000a__x000a_Equinor:_x000a_Condensate → 150,000 barrels/day (wrong — this i"/>
  </r>
  <r>
    <s v="Feedstock Contracted Supply Quantity Units"/>
    <s v="1. per feedstock supplier_x000a_ 2. per feedstock type"/>
    <s v="Primitive"/>
    <s v="Medium"/>
    <s v="1. Shell - 47.2.1.1.1 Commercial Term Sheet Shell - Feedstock.docx - pg2 _x000a_ _x000a_ condensate units: barrels_x000a_ _x000a_ naphtha - KT_x000a_ _x000a_ 2. Equinor - 47.2.2.1.1 Equinor - Feedstock Sale and Product Purchase Agreement (EXECUTE.pdf- pg 30 -_x000a_ _x000a_ Condensate - barrel_x000a_ Naphtha"/>
    <n v="4"/>
    <s v="Shell - Condensate: barrels; Shell - Full Range Naphtha: KT (kilotonnes); Equinor - Condensate: Barrels per day; Equinor - FRN: MT per day"/>
    <n v="4"/>
    <s v="Extracted"/>
    <x v="1"/>
    <s v="Full"/>
    <s v="Feedstock Supply Agreements"/>
    <s v="Feedstock Supply Agreements"/>
    <s v="Correct"/>
    <s v="05. Feedstock"/>
    <s v="05. Feedstock"/>
    <s v="Correct"/>
    <s v="YES"/>
    <x v="8"/>
    <s v="Extraction Prompt Layer"/>
    <x v="0"/>
    <s v="Manual Assessment_x000a_Core units correct._x000a_Added time basis not explicitly required._x000a_Slight over-specification._x000a__x000a_Issues_x000a_Over-specificity._x000a_Minor scope expansion_x000a__x000a_Model included temporal qualifier from context"/>
    <x v="4"/>
    <s v="Low"/>
    <s v="Ground Truth_x000a_Shell:_x000a_Condensate → barrels_x000a_Naphtha → KT_x000a__x000a_Equinor:_x000a_Condensate → barrel_x000a_Naphtha → MT_x000a__x000a_Extracted_x000a_Correct units but added:_x000a_&quot;per day&quot; qualifiers for Equinor"/>
  </r>
  <r>
    <s v="Feedstock Delivery Channel"/>
    <s v="1. per feedstock type_x000a_ 2. per feedstock contract"/>
    <s v="Primitive"/>
    <s v="Medium"/>
    <s v="Shell - 47.2.1.1.1 Commercial Term Sheet Shell - Feedstock.docx - pg2 _x000a_ _x000a_ Ans: FIP (Free into pipeline) OR DAP (delivery at place) by vessel_x000a_ _x000a_ Equinor - not found in contract"/>
    <n v="2"/>
    <s v="Free into Pipeline (FIP): Delivery as feedstock passes the battery limit of the Feedstock Storage Facilities (primary delivery channel); Delivery at Place by vessel (DAP): Delivery as feedstock passes the vessel's permanent hose connection at the discharg"/>
    <n v="2"/>
    <s v="Extracted"/>
    <x v="4"/>
    <s v="Full"/>
    <s v="Feedstock Supply Agreements"/>
    <s v="Feedstock Supply Agreements"/>
    <s v="Correct"/>
    <s v="05. Feedstock"/>
    <s v="05. Feedstock"/>
    <s v="Correct"/>
    <s v="YES"/>
    <x v="5"/>
    <s v="None"/>
    <x v="1"/>
    <s v="Manual Assessment_x000a_Correct._x000a_"/>
    <x v="2"/>
    <s v="None"/>
    <s v="Ground Truth_x000a_Shell:_x000a_FIP_x000a_DAP_x000a__x000a_Equinor:_x000a_Not found_x000a__x000a_Extracted_x000a_FIP_x000a_DAP_x000a_Detailed definitions"/>
  </r>
  <r>
    <s v="Feedstock Delivery Frequency"/>
    <s v="1. per feedstock type_x000a_ 2. per feedstock contract"/>
    <s v="Derived"/>
    <s v="Medium"/>
    <s v="Shell - 47.2.1.1.1 Commercial Term Sheet Shell - Feedstock.docx - pg5_x000a_ _x000a_ _x000a_ Answer: month"/>
    <n v="1"/>
    <s v="Monthly (per Feedstock Delivery Month), with nominations process starting at M-4 and deliveries scheduled within each Feedstock Delivery Month via Transfer Schedules specifying laydays (5-day ranges for DAP, 2-day windows for FIP)"/>
    <n v="1"/>
    <s v="Extracted"/>
    <x v="4"/>
    <s v="Full"/>
    <s v="Feedstock Supply Agreements"/>
    <s v="Feedstock Supply Agreements"/>
    <s v="Correct"/>
    <s v="05. Feedstock"/>
    <s v="05. Feedstock"/>
    <s v="Correct"/>
    <s v="YES"/>
    <x v="5"/>
    <s v="None"/>
    <x v="1"/>
    <s v="Manual Assessment_x000a_Correct._x000a_"/>
    <x v="2"/>
    <s v="None"/>
    <s v="Ground Truth_x000a_Shell:_x000a_month_x000a__x000a_Extracted_x000a_Monthly (with detailed scheduling explanation)"/>
  </r>
  <r>
    <s v="Feedstock Quality Specification"/>
    <s v="Per feedstock type"/>
    <s v="Primitive"/>
    <s v="Medium"/>
    <s v="Engineering Documents - 47.2.2.2.1 Equinor - Feedstock Sale and Product Purchase Agreemen.pdf_x000a_ _x000a_ pg 47, feeds table from 3.0 determines the quality required"/>
    <n v="3"/>
    <s v="Condensate: normal export quality as per produced (basket of pre-agreed grades); Full Range Naphtha: N+2A Min 35.0%, 50% Distillation Min 85°C"/>
    <n v="2"/>
    <s v="Extracted"/>
    <x v="1"/>
    <s v="Partial"/>
    <s v="Feedstock Supply Agreements"/>
    <s v="Feedstock Supply Agreements"/>
    <s v="Correct"/>
    <s v="05. Feedstock"/>
    <s v="05. Feedstock"/>
    <s v="Correct"/>
    <s v="YES (but wrong source)"/>
    <x v="11"/>
    <s v="Retrieval Filtering Layer"/>
    <x v="2"/>
    <s v="Manual Assessment_x000a__x000a_Extraction contains quality specs._x000a_However, wrong source document used (Shell instead of Equinor)._x000a_Missing Equinor feed table specifications._x000a_Partial but misaligned to PEC reference._x000a__x000a_Issues_x000a__x000a_Wrong document selected._x000a_Incomplete multi-sp"/>
    <x v="0"/>
    <s v="High"/>
    <s v="Ground Truth_x000a__x000a_From:_x000a_Engineering Documents – 47.2.2.2.1 Equinor Feedstock Sale and Product Purchase Agreement_x000a_Page 47 – Feed table from section 3.0 determines required quality._x000a_Expected:_x000a_Quality specifications per feedstock type from Equinor agreement (lik"/>
  </r>
  <r>
    <s v="Feedstock Seller's Entity"/>
    <s v="1. Per feedstock contract"/>
    <s v="Derived"/>
    <s v="Medium"/>
    <s v="To be inferred from documents._x000a_ 1. Shell International Eastern Trading Company, pg 1 of 1. Shell - 47.2.1.1.1 Commercial Term Sheet Shell - Feedstock.docx_x000a_ _x000a_ _x000a_ 2. Equinor, ASA - pg 1 of 47.2.2.1.1 Equinor - Feedstock Sale and Product Purchase Agreement (E"/>
    <n v="2"/>
    <s v="Shell International Eastern Trading Company (SIETCO); Equinor ASA"/>
    <n v="2"/>
    <s v="Extracted"/>
    <x v="4"/>
    <s v="Full"/>
    <s v="Feedstock Supply Agreements"/>
    <s v="Feedstock Supply Agreements"/>
    <s v="Correct"/>
    <s v="05. Feedstock"/>
    <s v="05. Feedstock"/>
    <s v="Correct"/>
    <s v="YES"/>
    <x v="5"/>
    <s v="None"/>
    <x v="1"/>
    <s v="Manual Assessment_x000a_Both feedstock sellers correctly identified._x000a_Correct documents retrieved._x000a_No over-expansion._x000a_Fully aligned with PEC._x000a__x000a_N/A"/>
    <x v="2"/>
    <s v="None"/>
    <s v="Ground Truth (PEC)_x000a_Shell International Eastern Trading Company_x000a_Equinor ASA_x000a__x000a_Extracted_x000a_Shell International Eastern Trading Company (SIETCO)_x000a_Equinor ASA"/>
  </r>
  <r>
    <s v="Feedstock Storage Capacity"/>
    <s v="per type of feedstock"/>
    <s v="Primitive"/>
    <s v="Medium"/>
    <s v="Condensate - 820,000 M^3_x000a_ naphtha - 45,714 m^3"/>
    <n v="2"/>
    <s v="Naphtha: 45,714 cbm"/>
    <n v="1"/>
    <s v="Extracted"/>
    <x v="1"/>
    <s v="Partial"/>
    <s v="Storage &amp; Handling Agreement / Plan"/>
    <s v="Storage &amp; Handling Agreement / Plan"/>
    <s v="Correct"/>
    <s v="08. Operations &amp; Management"/>
    <s v="08. Operations &amp; Management"/>
    <s v="Correct"/>
    <s v="YES (Naphtha only)"/>
    <x v="9"/>
    <s v="Retrieval Layer"/>
    <x v="2"/>
    <s v="Manual Assessment_x000a_Naphtha value correct._x000a_Condensate storage capacity not extracted._x000a_Partial retrieval._x000a__x000a_Issues_x000a_Missing condensate storage capacity._x000a_Incomplete multi-feedstock coverage._x000a__x000a_Condensate storage clause not retrieved in top-k chunks"/>
    <x v="0"/>
    <s v="High"/>
    <s v="Ground Truth (PEC)_x000a_Condensate → 820,000 m³_x000a_Naphtha → 45,714 m³_x000a__x000a_Extracted_x000a_Naphtha → 45,714 cbm_x000a_Condensate missing._x000a__x000a_One of two feedstock capacities missing"/>
  </r>
  <r>
    <s v="Feedstock Take-or-pay Minimum Quantity"/>
    <s v="per supplier per month"/>
    <s v="Derived"/>
    <s v="Medium"/>
    <s v="1. Shell - 47.2.1.1.1 Commercial Term Sheet Shell - Feedstock.docx - pg 2_x000a_ _x000a_ Answer:_x000a_ same as minimum feedstock quantity. 27million barrels per year of condensate, and _x000a_ _x000a_ 10% on top of 170KT of naphtha which is 153KT per year."/>
    <n v="2"/>
    <s v="NOT_FOUND"/>
    <n v="0"/>
    <s v="Extracted"/>
    <x v="5"/>
    <s v="NONE"/>
    <s v="Feedstock Supply Agreements"/>
    <s v="Feedstock Supply Agreements"/>
    <s v="Correct"/>
    <s v="05. Feedstock"/>
    <s v="05. Feedstock"/>
    <s v="Correct"/>
    <s v="YES (Clause exists in document)"/>
    <x v="12"/>
    <s v="Retrieval Layer"/>
    <x v="2"/>
    <s v="Manual Assessment_x000a__x000a_Minimum quantities clearly present in Shell term sheet._x000a_Extraction returned NOT_FOUND._x000a_Direct clause missed._x000a_This is not entity confusion._x000a_This is a recall failure._x000a__x000a_Issues_x000a_Explicit numeric clause not extracted._x000a_Failure to detect minimu"/>
    <x v="3"/>
    <s v="CRITICAL"/>
    <s v="Ground Truth (PEC)_x000a_Shell:_x000a_Condensate → 27 million barrels per year_x000a_Naphtha → 153 KT per year_x000a__x000a_Extracted_x000a_NOT_FOUND_x000a__x000a_High-risk miss of contractual obligation values"/>
  </r>
  <r>
    <s v="Insurance Coverage"/>
    <s v="per project"/>
    <s v="Derived"/>
    <s v="Medium"/>
    <s v="Document not provided"/>
    <n v="0"/>
    <s v="2450000000;900000000;300000000;250000000;100000000;50000000;100000000"/>
    <n v="7"/>
    <s v="Extracted"/>
    <x v="6"/>
    <s v="OVER"/>
    <s v="Insurance Policies"/>
    <s v="Insurance Policies"/>
    <s v="Correct"/>
    <s v="02. Financials &amp; Commercial"/>
    <s v="02. Financials &amp; Commercial"/>
    <s v="Correct"/>
    <s v="YES"/>
    <x v="13"/>
    <s v="None"/>
    <x v="1"/>
    <s v="Manual Assessment_x000a__x000a_Multiple insurance coverage values extracted._x000a_However:_x000a_No PEC baseline available._x000a_Cannot validate correctness._x000a_Extraction structurally reasonable._x000a__x000a_Issues_x000a__x000a_No ground truth reference._x000a_Over relative to blank PEC._x000a_Not comparable._x000a__x000a_No PEC r"/>
    <x v="4"/>
    <s v="Low"/>
    <s v="Ground Truth (PEC)_x000a__x000a_Document not provided._x000a_No reference baseline._x000a__x000a_Extracted_x000a_2450000000_x000a_900000000_x000a_300000000_x000a_250000000_x000a_100000000_x000a_50000000_x000a_100000000_x000a__x000a_Cannot assess correctness due to missing baseline"/>
  </r>
  <r>
    <s v="List of Offtake Products Contracted"/>
    <m/>
    <m/>
    <m/>
    <m/>
    <n v="0"/>
    <s v="Product (likely LNG/commodity product from condensate splitter and aromatics complex); Hydrogen"/>
    <n v="2"/>
    <s v="Extracted"/>
    <x v="7"/>
    <s v="OVER"/>
    <m/>
    <s v="Binding Term Sheet / Sales &amp; Purchase Agreement / Offtake Agreement"/>
    <s v="None"/>
    <m/>
    <s v="09. Offtake"/>
    <s v="Incorrect"/>
    <s v="YES"/>
    <x v="13"/>
    <s v="NO_REFERENCE_BASELINE"/>
    <x v="3"/>
    <s v="Manual Assessment_x000a_Offtake agreements retrieved correctly._x000a_Products partially inferred._x000a__x000a_Issues_x000a_No reference baseline."/>
    <x v="4"/>
    <s v="Low"/>
    <s v="Ground Truth (PEC)_x000a_No PEC answer provided._x000a__x000a_Extracted_x000a_Product (unspecified from condensate splitter/aromatics complex)_x000a_Hydrogen"/>
  </r>
  <r>
    <s v="List of Products Manufactured"/>
    <s v="per project"/>
    <s v="Primitive"/>
    <s v="Medium"/>
    <s v="engineering document: _x000a_ C3 LPG, _x000a_ C4 LPG, _x000a_ Light Naphtha,_x000a_ Benzene, _x000a_ para-xylene, _x000a_ kerosene, _x000a_ diesel,_x000a_ fuel oil,_x000a_ hydrogen rich gas,_x000a_ fuel gas,_x000a_ Sulfur"/>
    <n v="11"/>
    <s v="NOT_FOUND"/>
    <n v="0"/>
    <s v="Extracted"/>
    <x v="5"/>
    <s v="NONE"/>
    <s v="Engineering Agreement (Tech Supplier)"/>
    <s v="Engineering Agreement (Tech Supplier)"/>
    <s v="Correct"/>
    <s v="06. Technology"/>
    <s v="06. Technology"/>
    <s v="Correct"/>
    <s v="YES (Engineering doc contains list)"/>
    <x v="12"/>
    <s v="Retrieval Layer"/>
    <x v="2"/>
    <s v="Manual Assessment_x000a_Products clearly listed in engineering documentation._x000a_Extractor returned NOT_FOUND._x000a_This is a complete recall failure._x000a__x000a_Issues_x000a_Full extraction failure._x000a_Engineering document content not retrieved._x000a__x000a_Engineering agreement section not retrie"/>
    <x v="3"/>
    <s v="CRITICAL"/>
    <s v="Ground Truth (PEC)_x000a__x000a_From Engineering Document:_x000a__x000a_C3 LPG_x000a_C4 LPG_x000a_Light Naphtha_x000a_Benzene_x000a_Para-xylene_x000a_Kerosene_x000a_Diesel_x000a_Fuel oil_x000a_Hydrogen rich gas_x000a_Fuel gas_x000a_Sulfur_x000a__x000a_Extracted_x000a_NOT_FOUND_x000a__x000a_Complete miss of core plant product list"/>
  </r>
  <r>
    <s v="Loan life"/>
    <s v="per project"/>
    <s v="Primitive"/>
    <s v="Medium"/>
    <s v="from pitch book, 10 years, including construction"/>
    <n v="1"/>
    <s v="NOT_FOUND"/>
    <n v="0"/>
    <s v="Extracted"/>
    <x v="5"/>
    <s v="NONE"/>
    <s v="Pitch Deck"/>
    <s v="Pitch Deck"/>
    <s v="Correct"/>
    <s v="02. Financials &amp; Commercial"/>
    <s v="02. Financials &amp; Commercial"/>
    <s v="Correct"/>
    <s v="YES (Pitch deck contains value)"/>
    <x v="12"/>
    <s v="Retrieval Layer"/>
    <x v="2"/>
    <s v="Manual Assessment_x000a__x000a_Loan tenor explicitly stated in pitch book._x000a_Extractor failed to capture value._x000a_Direct numeric miss._x000a__x000a_Issues_x000a_Missed clearly stated loan tenor._x000a_Pitch deck not fully searched or section not retrieved._x000a__x000a_Loan tenor slide not ranked in top-k"/>
    <x v="3"/>
    <s v="High"/>
    <s v="Ground Truth (PEC)_x000a_10 years (including construction)_x000a__x000a_Extracted_x000a_NOT_FOUND_x000a__x000a_Financial structuring datapoint missed"/>
  </r>
  <r>
    <s v="Location of storage terminals"/>
    <s v="per project"/>
    <s v="Primitive"/>
    <s v="Medium"/>
    <s v="pengerang, johor"/>
    <n v="1"/>
    <s v="PITSB; Dialog PDT Phase 3"/>
    <n v="2"/>
    <s v="Extracted"/>
    <x v="1"/>
    <s v="OVER"/>
    <s v="Terminal Service Agreement (TSA)"/>
    <s v="Terminal Service Agreement (TSA)"/>
    <s v="Correct"/>
    <s v="08. Operations &amp; Management"/>
    <s v="08. Operations &amp; Management"/>
    <s v="Correct"/>
    <s v="YES"/>
    <x v="14"/>
    <s v="Extraction Interpretation Layer"/>
    <x v="0"/>
    <s v="Manual Assessment_x000a__x000a_Extractor returned terminal names._x000a_Ground truth expects geographic location._x000a_Facility names are correct but not answering the question directly._x000a_Semantic mismatch._x000a__x000a_Issues_x000a_Returned facility names instead of geographic location._x000a_Answered"/>
    <x v="0"/>
    <s v="Medium"/>
    <s v="Ground Truth (PEC)_x000a_Pengerang, Johor_x000a__x000a_Extracted_x000a_PITSB_x000a_Dialog PDT Phase 3_x000a__x000a_Needs clearer geographic constraint in prompt"/>
  </r>
  <r>
    <s v="Longstop Duration"/>
    <s v="per project"/>
    <s v="Derived"/>
    <s v="Medium"/>
    <s v="47.11.5.1 EPCC Contract - (W&amp;C Draft_ 18 Nov 2025).docx_x000a_ _x000a_ pg 80_x000a_ _x000a_ (a) If, by the date which is six (6) months after the Date of Mechanical Completion (the “Performance Testing Delay Longstop Date”):"/>
    <n v="1"/>
    <n v="18"/>
    <n v="1"/>
    <s v="Extracted"/>
    <x v="5"/>
    <s v="Full"/>
    <s v="EPCC Contract"/>
    <s v="EPCC Contract"/>
    <s v="Correct"/>
    <s v="07. Engineering, Procurement &amp; Construction"/>
    <s v="07. Engineering, Procurement &amp; Construction"/>
    <s v="Correct"/>
    <s v="YES"/>
    <x v="15"/>
    <s v="Interpretation Layer"/>
    <x v="4"/>
    <s v="Manual Assessment_x000a_Ground truth explicitly says six (6) months._x000a_Extractor returned 18 months._x000a_This is factual misreading._x000a_Likely confusion between different delay clauses_x000a__x000a_Issues_x000a__x000a_Wrong duration selected._x000a_Clause confusion within EPCC contract._x000a__x000a_Model selec"/>
    <x v="3"/>
    <s v="CRITICAL"/>
    <s v="Ground Truth (PEC)_x000a__x000a_6 months_x000a_(after Date of Mechanical Completion)_x000a__x000a_Extracted_x000a_18_x000a__x000a_Critical contractual timeline error"/>
  </r>
  <r>
    <s v="Maximum Contracted Deliverable Volume"/>
    <s v="per supplier _x000a_ per year_x000a_ per feedstock"/>
    <s v="Derived"/>
    <s v="Medium"/>
    <s v="1. Shell - 47.2.1.1.1 Commercial Term Sheet Shell - Feedstock.docx - pg 2_x000a_ _x000a_ Answer: 33million barrels per year of condensate, and _x000a_ _x000a_ 10% on top of 170KT of naphtha which is 187KT per year._x000a_ _x000a_ _x000a_ Equinor - can't find"/>
    <n v="2"/>
    <s v="Condensate: 33000000 barrels (30M + 10%); Full Range Naphtha: 187 KT (170 KT + 10%)"/>
    <n v="2"/>
    <s v="Extracted"/>
    <x v="4"/>
    <s v="Full"/>
    <s v="Feedstock Supply Agreements"/>
    <s v="Feedstock Supply Agreements"/>
    <s v="Correct"/>
    <s v="05. Feedstock"/>
    <s v="05. Feedstock"/>
    <s v="Correct"/>
    <s v="YES"/>
    <x v="5"/>
    <s v="None"/>
    <x v="1"/>
    <s v="Manual Assessment_x000a_Values numerically correct._x000a__x000a_However:_x000a_Expected multi-dimensional structure (per supplier / per feedstock)._x000a_Extractor collapsed structure._x000a_Still factually correct for Shell._x000a__x000a_Issues_x000a_Structural simplification._x000a_Did not explicitly represent "/>
    <x v="2"/>
    <s v="None"/>
    <s v="Ground Truth (PEC)_x000a_Condensate → 33 million barrels per year_x000a_Naphtha → 187 KT per year_x000a_Equinor → not found_x000a__x000a_Extracted_x000a_Condensate: 33,000,000 barrels_x000a_Full Range Naphtha: 187 KT"/>
  </r>
  <r>
    <s v="Maximum Delay Liquidated Damages (% of contract price)"/>
    <s v="per project"/>
    <s v="Primitive"/>
    <s v="Medium"/>
    <s v="EPCC Contract, 47.3.1.1.1.1 EPCC Contract - CNCEC+PEC.docx, pg97 of document, _x000a_ _x000a_ Ans: for IA Delay Liquidated Damages, shall be ten percent (10%) of the Contract Price; and"/>
    <n v="1"/>
    <n v="0.1"/>
    <n v="1"/>
    <s v="Extracted"/>
    <x v="4"/>
    <s v="Full"/>
    <s v="EPCC Contract"/>
    <s v="EPCC Contract"/>
    <s v="Correct"/>
    <s v="07. Engineering, Procurement &amp; Construction"/>
    <s v="07. Engineering, Procurement &amp; Construction"/>
    <s v="Correct"/>
    <s v="YES"/>
    <x v="5"/>
    <s v="None"/>
    <x v="1"/>
    <s v="Manual Assessment_x000a__x000a_0.1 = 10%._x000a__x000a_Numerically equivalent._x000a_Formatting difference only."/>
    <x v="2"/>
    <s v="None"/>
    <s v="Ground Truth (PEC)_x000a_10% of Contract Price_x000a__x000a_Extracted_x000a_0.1_x000a__x000a_Decimal vs percentage representation"/>
  </r>
  <r>
    <s v="Maximum Feedstock Cargo Volume"/>
    <s v="1. per feedstock contract_x000a_ 2. per channel_x000a_ 3. per feedstock"/>
    <s v="Derived"/>
    <s v="Medium"/>
    <s v="1. Shell - 47.2.1.1.1 Commercial Term Sheet Shell - Feedstock.docx - pg 4_x000a_ _x000a_ Each feedstock cargo will be supplied by the Seller as per below parcel size and grades:_x000a_ _x000a_ FIP channel (risk and title as feedstock passes the battery limit of the Feedstock Sto"/>
    <n v="4"/>
    <s v="Contract 1 (Shell - PEC): FIP/Condensate: 600000 barrels; FIP/Full Range Naphtha: 25000 MT; DAP/Condensate: 2000000 barrels; DAP/Full Range Naphtha: 75000 MT; Contract 2 (Shell - PSTO/PEC): FIP/Condensate: 600000 barrels; FIP/Full Range Naphtha: 25000 MT;"/>
    <n v="8"/>
    <s v="Extracted"/>
    <x v="4"/>
    <s v="OVER"/>
    <s v="Feedstock Supply Agreements"/>
    <s v="Feedstock Supply Agreements"/>
    <s v="Correct"/>
    <s v="05. Feedstock"/>
    <s v="05. Feedstock"/>
    <s v="Correct"/>
    <s v="YES"/>
    <x v="8"/>
    <s v="Extraction Prompt Layer"/>
    <x v="0"/>
    <s v="Manual Assessment_x000a_Maximum values correctly identified._x000a_However:_x000a_Duplicated per contract unnecessarily._x000a_Inflated count._x000a_Did not consolidate._x000a__x000a_Issues_x000a_Dimensional duplication._x000a_Over-expansion across contracts._x000a_Count inflation._x000a__x000a__x000a_Prompt allows per-contract dup"/>
    <x v="0"/>
    <s v="Medium"/>
    <s v="Ground Truth (PEC)_x000a_FIP – Condensate → 600,000 barrels_x000a_FIP – Naphtha → 25,000 MT_x000a_DAP – Condensate → 2,000,000 barrels_x000a_DAP – Naphtha → 75,000 MT_x000a__x000a_Extracted_x000a_Same four maximum values._x000a_But duplicated across two contracts._x000a__x000a__x000a_Correct values but structural over-e"/>
  </r>
  <r>
    <s v="Maximum Performance Liqudated Damages (% of contract price)"/>
    <s v="per project"/>
    <s v="Primitive"/>
    <s v="Medium"/>
    <s v="EPCC Contract, 47.3.1.1.1.1 EPCC Contract - CNCEC+PEC.docx, pg97 of document, _x000a_ _x000a_ (ii) for Performance Liquidated Damages, shall be ten percent (10%) of the Contract Price; and"/>
    <n v="1"/>
    <s v="CNCEC+PEC: 10%; W&amp;C Draft: 10%"/>
    <n v="2"/>
    <s v="Extracted"/>
    <x v="4"/>
    <s v="OVER"/>
    <s v="EPCC Contract"/>
    <s v="EPCC Contract"/>
    <s v="Correct"/>
    <s v="07. Engineering, Procurement &amp; Construction"/>
    <s v="07. Engineering, Procurement &amp; Construction"/>
    <s v="Correct"/>
    <s v="YES"/>
    <x v="8"/>
    <s v="Extraction Prompt Layer"/>
    <x v="0"/>
    <s v="Manual Assessment_x000a_Core value (10%) is correct._x000a__x000a_However:_x000a_Datapoint is per project._x000a_Extraction duplicated across two contract versions._x000a_Over-dimensioned response._x000a_Still factually correct._x000a__x000a_Issues_x000a_Unnecessary contract-level duplication._x000a_Structural over-expa"/>
    <x v="4"/>
    <s v="Low"/>
    <s v="Ground Truth (PEC)_x000a_From EPCC Contract (CNCEC+PEC), pg 97:_x000a_Performance Liquidated Damages → 10% of the Contract Price_x000a__x000a_Extracted_x000a_CNCEC+PEC → 10%_x000a_W&amp;C Draft → 10%_x000a__x000a_Numerically correct but structurally expanded"/>
  </r>
  <r>
    <s v="Maximum Total Liquidated Damanges (% of contract price)"/>
    <s v="per project"/>
    <s v="Primitive"/>
    <s v="Medium"/>
    <s v="&quot;EPCC Contract, 47.3.1.1.1.1 EPCC Contract - CNCEC+PEC.docx, pg97 of document, _x000a_ _x000a_ (ii) for Performance Liquidated Damages, shall be ten percent (10%) of the Contract Price; and&quot;"/>
    <n v="1"/>
    <s v="W&amp;C Draft (18 Nov 2025): 20% of the Contract Price; CNCEC+PEC: 20% of the Contract Price"/>
    <n v="1"/>
    <s v="Extracted"/>
    <x v="5"/>
    <s v="Full"/>
    <s v="EPCC Contract"/>
    <s v="EPCC Contract"/>
    <s v="Correct"/>
    <s v="07. Engineering, Procurement &amp; Construction"/>
    <s v="07. Engineering, Procurement &amp; Construction"/>
    <s v="Correct"/>
    <s v="YES"/>
    <x v="15"/>
    <s v="Interpretation Layer"/>
    <x v="4"/>
    <s v="Manual Assessment_x000a_Extractor selected aggregate LD cap (20%)._x000a_Ground truth expects specific LD cap (10%)._x000a_Wrong clause interpretation._x000a_This is not retrieval failure._x000a_This is clause-level misunderstanding._x000a__x000a_Issues_x000a_Selected wrong LD cap._x000a_Confused aggregate L"/>
    <x v="3"/>
    <s v="CRITICAL"/>
    <s v="Ground Truth (PEC)_x000a__x000a_From EPCC Contract (CNCEC+PEC), pg 97:_x000a_Maximum Total Liquidated Damages → 10% of Contract Price_x000a__x000a_Extracted_x000a_20% of Contract Price (both contracts)_x000a__x000a_Legal cap misinterpretation"/>
  </r>
  <r>
    <s v="Minimum Contracted Deliverable Volume"/>
    <s v="1. per feedstock contract_x000a_ 2. per feestock"/>
    <s v="Derived"/>
    <s v="Medium"/>
    <s v="1. Shell - 47.2.1.1.1 Commercial Term Sheet Shell - Feedstock.docx - pg 2_x000a_ _x000a_ Answer: 27million barrels per year of condensate, and _x000a_ _x000a_ 10% on top of 170KT of naphtha which is 153KT per year._x000a_ _x000a_ _x000a_ 47.2.2.1.1 Equinor - Feedstock Sale and Product Purchase Ag"/>
    <n v="14"/>
    <s v="Condensate: 27000000 barrels; Full Range Naphtha: 153000 MT"/>
    <n v="2"/>
    <s v="Extracted"/>
    <x v="1"/>
    <s v="Partial"/>
    <s v="Feedstock Supply Agreements"/>
    <s v="Feedstock Supply Agreements"/>
    <s v="Correct"/>
    <s v="05. Feedstock"/>
    <s v="05. Feedstock"/>
    <s v="Correct"/>
    <s v="YES (Shell only)"/>
    <x v="9"/>
    <s v="Retrieval Layer"/>
    <x v="2"/>
    <s v="Manual Assessment_x000a__x000a_Shell values correct._x000a_Equinor minimum quantities missing._x000a_Partial multi-contract extraction._x000a__x000a_Issues_x000a_Missing Equinor daily minimum quantities._x000a_Incomplete contract coverage._x000a__x000a_IG Equinor minimum quantity clause not retrieved in top-k"/>
    <x v="0"/>
    <s v="High"/>
    <s v="Ground Truth (PEC)_x000a_Shell:_x000a_Condensate → 27 million barrels/year_x000a_Naphtha → 153 KT/year_x000a__x000a_Equinor:_x000a_Condensate → 50,000 barrels/day × contract days_x000a_FRN → 935 MT/day × contract days_x000a__x000a_Extracted_x000a_Condensate → 27,000,000 barrels_x000a_FRN → 153,000 MT_x000a_(Shell only)"/>
  </r>
  <r>
    <s v="Nameplate Capacity"/>
    <s v="1. per product type_x000a_ 2. per unit"/>
    <s v="Derived"/>
    <s v="Medium"/>
    <s v="Per Type of Product Output_x000a_ _x000a_ engineering document: _x000a_ C3 LPG - 2264 BPDS, 64 KMTA_x000a_ C4 LPG 7871 BPDS, 253 KMTA_x000a_ Light Naphtha 26,462 BPDS, 961 KMTA_x000a_ Benzene, 591 KMTA_x000a_ para-xylene 1683 KMTA_x000a_ kerosene: 16279 BPDS, 718 KMTA_x000a_ diesel: 31,536 BPDS, 1440 KMTA_x000a_ f"/>
    <n v="10"/>
    <s v="NHT: 4,113 KMTA (102,100 BPSD); CCR Platforming: 3,201 KMTA (77,400 BPSD); CFU: 6,356 KMTA (150,000 BPSD); Merox: 10,200 Barrels per operating day (3,570,000 Barrels per calendar year); Distillate Unionfining (Diesel): 30,700 Barrels per operating day (10"/>
    <n v="15"/>
    <s v="Extracted"/>
    <x v="1"/>
    <s v="OVER"/>
    <s v="Engineering Agreement (Tech Supplier)"/>
    <s v="Engineering Agreement (Tech Supplier)"/>
    <s v="Correct"/>
    <s v="06. Technology"/>
    <s v="06. Technology"/>
    <s v="Correct"/>
    <s v="YES"/>
    <x v="16"/>
    <s v="Interpretation Layer"/>
    <x v="4"/>
    <s v="Manual Assessment_x000a__x000a_Extraction structurally incorrect._x000a_Answered per processing unit._x000a_PEC requires per product output._x000a_Dimensional mismatch._x000a_Large over-expansion._x000a__x000a_Issues_x000a__x000a_Wrong dimensional framework (unit vs product)._x000a_Over-expansion._x000a_Missing several produc"/>
    <x v="3"/>
    <s v="CRITICAL"/>
    <s v="Ground Truth (PEC)_x000a__x000a_Per Product Output:_x000a__x000a_C3 LPG_x000a_C4 LPG_x000a_Light Naphtha_x000a_Benzene_x000a_Para-xylene_x000a_Kerosene_x000a_Diesel_x000a_Fuel Oil_x000a_Fuel Gas_x000a_Sulfur_x000a__x000a_(With BPDS / KMTA values)_x000a__x000a_Extracted_x000a_Process-unit capacities (NHT, CCR, CFU, Merox, Isomar, etc.)_x000a_Some overlap (Benzene, Par"/>
  </r>
  <r>
    <s v="Nameplate Capacity Units"/>
    <m/>
    <s v="Primitive"/>
    <s v="Medium"/>
    <s v="Per Type of Product Output_x000a_ _x000a_ engineering document: _x000a_ C3 LPG - 2264 BPDS, 64 KMTA_x000a_ C4 LPG 7871 BPDS, 253 KMTA_x000a_ Light Naphtha 26,462 BPDS, 961 KMTA_x000a_ Benzene, 591 KMTA_x000a_ para-xylene 1683 KMTA_x000a_ kerosene: 16279 BPDS, 718 KMTA_x000a_ diesel: 31,536 BPDS, 1440 KMTA_x000a_ f"/>
    <n v="2"/>
    <s v="NHT: 4,113 KMTA (102,100 BPSD); CCRU: 3,201 KMTA (77,400 BPSD); Aromatics Complex Benzene: 591 KMTA (1,688 MTA per operating day); Aromatics Complex Para-xylene: 1,683 KMTA (4,808 MTA per operating day); Merox Unit: 3,570,000 Barrels per calendar year (10"/>
    <n v="16"/>
    <s v="Extracted"/>
    <x v="5"/>
    <s v="OVER"/>
    <s v="Engineering Agreement (Tech Supplier)"/>
    <s v="Engineering Agreement (Tech Supplier)"/>
    <s v="Correct"/>
    <s v="06. Technology"/>
    <s v="06. Technology"/>
    <s v="Correct"/>
    <s v="YES"/>
    <x v="16"/>
    <s v="DIMENSIONAL_MISMATCH"/>
    <x v="3"/>
    <s v="Manual Assessment_x000a__x000a_Question asks for units used per product output._x000a_Extractor returned detailed process-unit capacity metrics._x000a_Wrong framing._x000a_Over-expansion._x000a__x000a_Issues_x000a__x000a_Returned capacity values instead of just units._x000a_Mixed multiple measurement bases._x000a_Over-e"/>
    <x v="0"/>
    <s v="High"/>
    <s v="Ground Truth (PEC)_x000a__x000a_Units expected:_x000a_BPDS_x000a_KMTA_x000a_Per product output._x000a__x000a__x000a_Extracted_x000a__x000a_KMTA_x000a_BPSD_x000a_MTA_x000a_Barrels per calendar year_x000a_lb/h_x000a_MT/day_x000a__x000a_(Unit-level + multiple capacity bases)_x000a__x000a_Misunderstood requirement to extract units only"/>
  </r>
  <r>
    <s v="Number of Feedstock Requiring Storage"/>
    <s v="per project"/>
    <s v="Derived"/>
    <s v="Medium"/>
    <n v="2"/>
    <n v="1"/>
    <n v="2"/>
    <n v="1"/>
    <s v="Extracted"/>
    <x v="4"/>
    <s v="Full"/>
    <s v="Storage &amp; Handling Agreement / Plan"/>
    <s v="Storage &amp; Handling Agreement / Plan"/>
    <s v="Correct"/>
    <s v="08. Operations &amp; Management"/>
    <s v="08. Operations &amp; Management"/>
    <s v="Correct"/>
    <s v="YES"/>
    <x v="5"/>
    <s v="None"/>
    <x v="1"/>
    <s v="Manual Assessment_x000a_Correct._x000a_"/>
    <x v="2"/>
    <s v="None"/>
    <s v="None"/>
  </r>
  <r>
    <s v="Number of Offtake Buyer Entities"/>
    <s v="per project"/>
    <s v="Derived"/>
    <s v="Medium"/>
    <n v="5"/>
    <n v="5"/>
    <n v="2"/>
    <n v="2"/>
    <s v="Extracted"/>
    <x v="5"/>
    <s v="Partial"/>
    <s v="Binding Term Sheet / Sales &amp; Purchase Agreement / Offtake Agreement"/>
    <s v="Binding Term Sheet / Sales &amp; Purchase Agreement / Offtake Agreement"/>
    <s v="Correct"/>
    <s v="09. Offtake"/>
    <s v="09. Offtake"/>
    <s v="Correct"/>
    <s v="YES (partial entities)"/>
    <x v="17"/>
    <s v="Retrieval Layer"/>
    <x v="2"/>
    <s v="Manual Assessment_x000a_Extractor identified only 2 buyer entities._x000a__x000a_Missed:_x000a_PTT_x000a_Pandita_x000a_Equinor_x000a_Clear undercount._x000a_Not a semantic issue._x000a_Not interpretation._x000a_Incomplete entity enumeration._x000a__x000a_Issues_x000a__x000a_Missed 3 buyer entities._x000a_Incomplete multi-agreement coverage._x000a_Li"/>
    <x v="3"/>
    <s v="CRITICAL"/>
    <s v="Ground Truth (PEC)_x000a_5_x000a_(Buyers: Shell, Mitsui, PTT, Pandita, Equinor)_x000a__x000a_Extracted_x000a_2_x000a_(Mitsui &amp; Shell only)_x000a__x000a__x000a_Significant undercount of counterparties"/>
  </r>
  <r>
    <s v="Number of Offtake Seller Entities"/>
    <s v="per project"/>
    <s v="Derived"/>
    <s v="Medium"/>
    <n v="5"/>
    <n v="1"/>
    <n v="2"/>
    <n v="1"/>
    <s v="Extracted"/>
    <x v="5"/>
    <s v="Partial"/>
    <s v="Binding Term Sheet / Sales &amp; Purchase Agreement / Offtake Agreement"/>
    <s v="Binding Term Sheet / Sales &amp; Purchase Agreement / Offtake Agreement"/>
    <s v="Correct"/>
    <s v="09. Offtake"/>
    <s v="09. Offtake"/>
    <s v="Correct"/>
    <s v="YES (partial)"/>
    <x v="17"/>
    <s v="Retrieval Layer"/>
    <x v="2"/>
    <s v="Manual Assessment_x000a__x000a_Under-counted seller entities._x000a_Only identified 2 from limited documents._x000a_Same pattern as buyer undercount._x000a__x000a_Issues_x000a__x000a_Incomplete seller coverage._x000a_Multi-agreement retrieval insufficient._x000a__x000a_Only subset of offtake agreements retrieved"/>
    <x v="3"/>
    <s v="CRITICAL"/>
    <s v="Ground Truth (PEC)_x000a_5_x000a__x000a_Extracted_x000a_2_x000a_(PEC and PSTO)_x000a__x000a_Counterparty universe incomplete"/>
  </r>
  <r>
    <s v="Number of Products Manufactured"/>
    <s v="per project"/>
    <s v="Derived"/>
    <s v="Medium"/>
    <n v="11"/>
    <n v="1"/>
    <s v="NOT_FOUND"/>
    <n v="0"/>
    <s v="Extracted"/>
    <x v="5"/>
    <s v="NONE"/>
    <s v="Engineering Agreement (Tech Supplier)"/>
    <s v="Engineering Agreement (Tech Supplier)"/>
    <s v="Correct"/>
    <s v="06. Technology"/>
    <s v="06. Technology"/>
    <s v="Correct"/>
    <s v="YES"/>
    <x v="18"/>
    <s v="Extraction / Reasoning Layer"/>
    <x v="0"/>
    <s v="Manual Assessment_x000a_Products clearly listed in engineering documentation._x000a_Extractor failed to count them._x000a_Complete recall failure._x000a__x000a_Issues_x000a_Failed to derive numeric count from list._x000a_Engineering doc not fully leveraged._x000a__x000a_Model did not convert product list int"/>
    <x v="3"/>
    <s v="CRITICAL"/>
    <s v="Ground Truth (PEC)_x000a_11_x000a__x000a_Extracted_x000a_not found_x000a__x000a_Counting logic missing"/>
  </r>
  <r>
    <s v="Number of Storage Terminals"/>
    <s v="per project"/>
    <s v="Derived"/>
    <s v="Medium"/>
    <n v="2"/>
    <n v="1"/>
    <s v="NOT_FOUND"/>
    <n v="0"/>
    <s v="Extracted"/>
    <x v="5"/>
    <s v="NONE"/>
    <s v="Terminal Service Agreement (TSA)"/>
    <s v="Terminal Service Agreement (TSA)"/>
    <s v="Correct"/>
    <s v="08. Operations &amp; Management"/>
    <s v="08. Operations &amp; Management"/>
    <s v="Correct"/>
    <s v="YES"/>
    <x v="18"/>
    <s v="Extraction / Reasoning Layer"/>
    <x v="0"/>
    <s v="Manual Assessment_x000a__x000a_Earlier extraction identified two terminals (PITSB &amp; Dialog)._x000a_But numeric derivation failed here._x000a_System could not translate terminal references into count._x000a__x000a_Issues_x000a__x000a_Derivation failure._x000a_Terminal identity present in context but not count"/>
    <x v="0"/>
    <s v="High"/>
    <s v="Ground Truth (PEC)_x000a_2_x000a_Extracted_x000a_not found_x000a__x000a_Counting logic missing Again"/>
  </r>
  <r>
    <s v="Offtake Buyer Entities"/>
    <s v="per project"/>
    <s v="Primitive"/>
    <s v="Medium"/>
    <s v="Shell, Mitsui, PTT, Pandita, Equinor"/>
    <n v="5"/>
    <s v="Shell International Eastern Trading Company (SIETCO); Mitsui &amp; Co., Ltd"/>
    <n v="2"/>
    <s v="Extracted"/>
    <x v="1"/>
    <s v="Partial"/>
    <s v="Binding Term Sheet / Sales &amp; Purchase Agreement / Offtake Agreement"/>
    <s v="Binding Term Sheet / Sales &amp; Purchase Agreement / Offtake Agreement"/>
    <s v="Correct"/>
    <s v="09. Offtake"/>
    <s v="09. Offtake"/>
    <s v="Correct"/>
    <s v="YES (partial)"/>
    <x v="17"/>
    <s v="Retrieval Layer"/>
    <x v="2"/>
    <s v="Manual Assessment_x000a__x000a_Correctly identified 2._x000a_Missing 3 buyers._x000a_Partial enumeration._x000a_Same pattern as numeric undercount._x000a__x000a_Issues_x000a__x000a_Missing PTT, Pandita, Equinor._x000a_Incomplete contract retrieval._x000a__x000a_Not all offtake agreements retrieved"/>
    <x v="3"/>
    <s v="CRITICAL"/>
    <s v="Ground Truth (PEC)_x000a__x000a_Shell_x000a_Mitsui_x000a_PTT_x000a_Pandita_x000a_Equinor_x000a__x000a_Extracted_x000a__x000a_Shell (SIETCO)_x000a_Mitsui_x000a__x000a_Same structural gap as count version"/>
  </r>
  <r>
    <s v="Offtake Contract Term"/>
    <s v="per offtake contract"/>
    <s v="Primitive"/>
    <s v="Medium"/>
    <s v="47.2.1.2.1 Commercial Term Sheet Shell _ Offtake.docx,_x000a_ _x000a_ pg 1, _x000a_ _x000a_ ans: 12 years_x000a_ _x000a_ 47.2.2.2.1 Equinor - Feedstock Sale and Product Purchase Agreemen.pdf_x000a_ _x000a_ pg 25_x000a_ _x000a_ (10th) anniversary of the COD"/>
    <n v="2"/>
    <s v="PEC v Mitsui: 12 years from Commercial Operations Date (Initial Term), extendable by mutual agreement; PEC v PTT (PX-BZ): 5 years from Commercial Operations Date (Initial Term), automatically renewed to 10th anniversary of Offtake Commencement Date (Exten"/>
    <n v="3"/>
    <s v="Extracted"/>
    <x v="1"/>
    <s v="OVER"/>
    <s v="Binding Term Sheet / Sales &amp; Purchase Agreement / Offtake Agreement"/>
    <s v="Binding Term Sheet / Sales &amp; Purchase Agreement / Offtake Agreement"/>
    <s v="Correct"/>
    <s v="09. Offtake"/>
    <s v="09. Offtake"/>
    <s v="Correct"/>
    <s v="YES"/>
    <x v="19"/>
    <s v="Interpretation Layer"/>
    <x v="4"/>
    <s v="Manual Assessment_x000a__x000a_Extractor pulled correct term structures but for wrong counterparties._x000a_Equinor missing._x000a_Shell misattributed._x000a_Over-expanded beyond PEC scope._x000a__x000a_Issues_x000a__x000a_Counterparty misalignment._x000a_Equinor missing._x000a_Scope expansion to additional contracts._x000a__x000a_"/>
    <x v="3"/>
    <s v="CRITICAL"/>
    <s v="Ground Truth (PEC)_x000a_Shell → 12 years_x000a_Equinor → 10th anniversary of COD_x000a__x000a_Extracted_x000a_Mitsui → 12 years_x000a_PTT → 5 years (auto to 10)_x000a_Hydrogen → 15 years_x000a__x000a_Shell term not directly extracted as defined in PEC._x000a_Equinor term missing._x000a__x000a_Structural counterparty misassig"/>
  </r>
  <r>
    <s v="Offtake Contract Term Extension"/>
    <s v="per offtake contract"/>
    <s v="Primitive"/>
    <s v="Medium"/>
    <s v="47.2.1.2.1 Commercial Term Sheet Shell _ Offtake.docx,_x000a_ _x000a_ pg 1, _x000a_ _x000a_ ans: Option to extend the Term by an additional 5 years, if mutually agreed._x000a_ _x000a_ 47.2.2.2.1 Equinor - Feedstock Sale and Product Purchase Agreemen.pdf_x000a_ _x000a_ pg 27_x000a_ ans: Equinor shall, in its "/>
    <n v="5"/>
    <s v="PEC-PTT POA (PX-BZ): Automatic renewal from Initial Term (5 years from Commercial Operations Date) to Extended Term (10th anniversary of Offtake Commencement Date), unless either party gives written notice within 30 days after the 3rd anniversary of the O"/>
    <n v="4"/>
    <s v="Extracted"/>
    <x v="1"/>
    <s v="Partial"/>
    <s v="Binding Term Sheet / Sales &amp; Purchase Agreement / Offtake Agreement"/>
    <s v="Binding Term Sheet / Sales &amp; Purchase Agreement / Offtake Agreement"/>
    <s v="Correct"/>
    <s v="09. Offtake"/>
    <s v="09. Offtake"/>
    <s v="Correct"/>
    <s v="YES (Shell/PTT/Mitsui/Hydrogen only)"/>
    <x v="9"/>
    <s v="Retrieval Layer"/>
    <x v="2"/>
    <s v="Manual Assessment_x000a__x000a_Shell captured correctly._x000a_PTT and Mitsui correct._x000a_Hydrogen included._x000a_Equinor extension missing (major omission)._x000a_Partial multi-contract coverage._x000a__x000a_Issues_x000a__x000a_Equinor extension clause missing._x000a_Incomplete coverage."/>
    <x v="3"/>
    <s v="CRITICAL"/>
    <s v="Ground Truth (PEC)_x000a__x000a_Shell → 5-year mutual extension_x000a_Equinor → unilateral option to extend to 12th anniversary of COD_x000a_Pandita → 15 years_x000a_PTT → 10 years_x000a_Mitsui → 12 years_x000a__x000a_Extracted_x000a_PTT → auto renewal_x000a_Mitsui → mutual extension_x000a_Hydrogen → 5-year auto renewal"/>
  </r>
  <r>
    <s v="Offtake Contract Quantity Units"/>
    <s v="per contract per year"/>
    <s v="Primitive"/>
    <s v="Medium"/>
    <s v="47.2.1.2.1 Commercial Term Sheet Shell _ Offtake.docx _x000a_ _x000a_ pg 2_x000a_ _x000a_ Seller to supply and Buyer to purchase and offtake the following products on a mandatory basis: _x000a_ • Gasoil 10ppm: Baseline Annual Contract Quantity (“ACQ”) of a minimum of 1,440 KT during e"/>
    <n v="5"/>
    <s v="Shell contract: Gasoil 10ppm 1,440 KT, Jet A-1 725 KT, Very Low Sulphur Fuel Oil 420 KT, Light Naphtha 450 KT, Benzene 315 KT (each ±10% at Seller's option) per Contract Year; Mitsui contract: Annual Contract Quantity for Paraxylene and Benzene (specific "/>
    <n v="3"/>
    <s v="Extracted"/>
    <x v="1"/>
    <s v="Partial"/>
    <s v="Binding Term Sheet / Sales &amp; Purchase Agreement / Offtake Agreement"/>
    <s v="Binding Term Sheet / Sales &amp; Purchase Agreement / Offtake Agreement"/>
    <s v="Correct"/>
    <s v="09. Offtake"/>
    <s v="09. Offtake"/>
    <s v="Correct"/>
    <s v="YES (partial)"/>
    <x v="20"/>
    <s v="Retrieval Layer"/>
    <x v="2"/>
    <s v="Manual Assessment_x000a__x000a_Shell correctly captured._x000a_Mitsui &amp; PTT units captured._x000a_Equinor bbld missing._x000a_Pandita Nm³ missing._x000a_Partial unit coverage across contracts._x000a__x000a_Issues_x000a__x000a_Missed Equinor (bbld)._x000a_Missed Pandita (Nm³)._x000a_Multi-contract retrieval incomplete._x000a__x000a_IG - N"/>
    <x v="3"/>
    <s v="CRITICAL"/>
    <s v="Ground Truth (PEC)_x000a__x000a_Units across contracts:_x000a_Shell → KT (per year)_x000a_Equinor → Barrels per day (bbld)_x000a_Mitsui → MT_x000a_PTT → MT_x000a_Pandita → Nm³_x000a__x000a_Extracted_x000a_Shell → KT_x000a_Mitsui → MT_x000a_PTT → MT_x000a_Equinor → Missing_x000a_Pandita → Missing_x000a__x000a_Units dimension partially captured"/>
  </r>
  <r>
    <s v="Offtake Delivery Channel"/>
    <s v="1. per offtake contract"/>
    <s v="Primitive"/>
    <s v="Medium"/>
    <s v="&quot;47.2.1.2.1 Commercial Term Sheet Shell _ Offtake.docx _x000a_ _x000a_ pg 3,_x000a_ _x000a_ Each product cargo will be supplied to the Buyer as per below parcel size and grades:_x000a_ _x000a_ FIP channel (risk and title to pass at Product Storage Facilities battery limit)_x000a_ _x000a_ • Gasoil 10ppm"/>
    <n v="5"/>
    <s v="Shell: FIP or FOB; Mitsui: FOB; PTT: FOB; Hydrogen: Pipeline"/>
    <n v="4"/>
    <s v="Extracted"/>
    <x v="1"/>
    <s v="Partial"/>
    <s v="Binding Term Sheet / Sales &amp; Purchase Agreement / Offtake Agreement"/>
    <s v="Binding Term Sheet / Sales &amp; Purchase Agreement / Offtake Agreement"/>
    <s v="Correct"/>
    <s v="09. Offtake"/>
    <s v="09. Offtake"/>
    <s v="Correct"/>
    <s v="YES"/>
    <x v="21"/>
    <s v="Retrieval Layer"/>
    <x v="2"/>
    <s v="Manual Assessment_x000a__x000a_Core channels correct._x000a_Pandita represented as Hydrogen (correct contract, naming slightly off)._x000a_Equinor omission (minor, since undefined)._x000a_Mostly correct but incomplete coverage._x000a__x000a_Issues_x000a__x000a_Equinor entry omitted._x000a_Minor entity labeling inc"/>
    <x v="0"/>
    <s v="Medium"/>
    <s v="Ground Truth (PEC)_x000a_Shell → FIP &amp; FOB_x000a_Mitsui → FOB_x000a_PTT → FOB_x000a_Pandita → Pipeline_x000a_Equinor → Not defined_x000a__x000a_Extracted_x000a_Shell → FIP / FOB_x000a_Mitsui → FOB_x000a_PTT → FOB_x000a_Hydrogen → Pipeline_x000a__x000a_Equinor not included._x000a__x000a_Largely correct operational understanding"/>
  </r>
  <r>
    <s v="Offtake Pricing Formula"/>
    <s v="1. per offtake contract_x000a_ 2. per offtake product"/>
    <s v="Primitive"/>
    <s v="Medium"/>
    <s v="Shell, 47.2.1.2.1 Commercial Term Sheet Shell _ Offtake.docx _x000a_ _x000a_ pg 6_x000a_ _x000a_ Ans: For each product cargo, the Price formula will be applicable for the respective month of loading at Load port (the Loading Month), which shall be the same as the Feedstock Deliv"/>
    <n v="5"/>
    <s v="PEC v Mitsui (Paraxylene): Paraxylene Product Price = Paraxylene Price Index – Frt + Adjustment, where Paraxylene Price Index is any traded price index or combination accepted by the industry (determined by Buyer), Frt is prevailing chemical tanker freigh"/>
    <n v="3"/>
    <s v="Extracted"/>
    <x v="1"/>
    <s v="Partial"/>
    <s v="Binding Term Sheet / Sales &amp; Purchase Agreement / Offtake Agreement"/>
    <s v="Binding Term Sheet / Sales &amp; Purchase Agreement / Offtake Agreement"/>
    <s v="Correct"/>
    <s v="09. Offtake"/>
    <s v="09. Offtake"/>
    <s v="Correct"/>
    <s v="YES (partial)"/>
    <x v="22"/>
    <s v="Retrieval + Interpretation"/>
    <x v="2"/>
    <s v="Manual Assessment_x000a__x000a_Shell correct._x000a_Mitsui partially incorrect (Frt wrongly applied to PX)._x000a_Hydrogen formula missed._x000a_Equinor formula missing._x000a_PTT pricing missing._x000a_Major multi-contract omissions + formula misinterpretation._x000a__x000a_Issues_x000a__x000a_Equinor missing._x000a_PTT miss"/>
    <x v="5"/>
    <s v="CRITICAL"/>
    <s v="Ground Truth (PEC)_x000a__x000a_Shell → A + B + C formula_x000a_Equinor → P = PM + AD – MS_x000a_Pandita → LNG FOB WAB formula_x000a_PTT → (50% ACP + 50% AMP) - Frt + Adjustment_x000a_Mitsui → PX index + adjustment; Benzene index - Frt + adjustment_x000a__x000a_Extracted_x000a__x000a_Shell → A + B + C (correct)_x000a_Mi"/>
  </r>
  <r>
    <s v="Offtake Product Contract Quantity"/>
    <s v="per offtake contract_x000a_ per offtake product"/>
    <s v="Primitive"/>
    <s v="Medium"/>
    <s v="47.2.1.2.1 Commercial Term Sheet Shell _ Offtake.docx _x000a_ _x000a_ pg 2_x000a_ _x000a_ Seller to supply and Buyer to purchase and offtake the following products on a mandatory basis: _x000a_ • Gasoil 10ppm: Baseline Annual Contract Quantity (“ACQ”) of a minimum of 1,440 KT during e"/>
    <n v="5"/>
    <s v="NOT_FOUND"/>
    <n v="0"/>
    <s v="Extracted"/>
    <x v="5"/>
    <s v="NONE"/>
    <s v="Binding Term Sheet / Sales &amp; Purchase Agreement / Offtake Agreement"/>
    <s v="Binding Term Sheet / Sales &amp; Purchase Agreement / Offtake Agreement"/>
    <s v="Correct"/>
    <s v="09. Offtake"/>
    <s v="09. Offtake"/>
    <s v="Correct"/>
    <s v="YES"/>
    <x v="23"/>
    <s v="Extraction Layer"/>
    <x v="0"/>
    <s v="Manual Assessment_x000a__x000a_All quantities clearly available in PEC references._x000a_Extractor failed entirely._x000a_This is major recall failure._x000a_Not retrieval — quantities present in retrieved context._x000a_Extraction logic failed._x000a__x000a__x000a_Issues_x000a__x000a_Complete quantity extraction failur"/>
    <x v="5"/>
    <s v="CRITICAL"/>
    <s v="_x000a_Ground Truth (PEC)_x000a_Shell → 1,440 KT; 725 KT; 420 KT; 450 KT; 315 KT_x000a_Equinor → 52,000 bbld aggregate; 26k LVN; 16k Jet; 10k C3/C4_x000a_Mitsui → 660,000 MT PX; 370,000 MT BZ_x000a_PTT → 600,000 MT PX; 300,000 MT BZ_x000a_Pandita → Min/Max hydrogen rates_x000a__x000a_Extracted_x000a_NOT_FOUN"/>
  </r>
  <r>
    <s v="Offtake Seller Entities"/>
    <s v="per project"/>
    <s v="Primitive"/>
    <s v="Medium"/>
    <n v="1"/>
    <n v="1"/>
    <s v="Pengerang Product Supply and Trading Organisation Pte. Ltd. (PSTO); Pengerang Energy Complex Sdn Bhd (PEC)"/>
    <n v="2"/>
    <s v="Extracted"/>
    <x v="5"/>
    <s v="OVER"/>
    <s v="Binding Term Sheet / Sales &amp; Purchase Agreement / Offtake Agreement"/>
    <s v="Binding Term Sheet / Sales &amp; Purchase Agreement / Offtake Agreement"/>
    <s v="Correct"/>
    <s v="09. Offtake"/>
    <s v="09. Offtake"/>
    <s v="Correct"/>
    <s v="YES"/>
    <x v="24"/>
    <s v="Interpretation Layer"/>
    <x v="4"/>
    <s v="Manual Assessment_x000a__x000a_Extractor listed 2 entities._x000a_PEC answer indicates single consolidated seller._x000a_Scope misalignment (project-level vs document-level_x000a__x000a_Issues_x000a__x000a_Over-expansion._x000a_Seller entity interpretation inconsistent_x000a__x000a_Model enumerated document sellers inst"/>
    <x v="0"/>
    <s v="High"/>
    <s v="Ground Truth (PEC)_x000a_1_x000a_(Project-level seller entity)_x000a__x000a_Extracted_x000a_PSTO_x000a_PEC_x000a__x000a_Needs clearer dimensional constraint in prompt"/>
  </r>
  <r>
    <s v="Offtaker Book Value of Equity"/>
    <s v="per offtaker"/>
    <s v="Primitive"/>
    <s v="Medium"/>
    <s v="Shell; 47.11.1.1 Shell Eastern Trading Audited Financials FY 2022.pdf; pg 9, value for 2022 = 6,776,402,000_x000a_ _x000a_ Shell; 47.11.1.1 Shell Eastern Trading Audited Financials FY 2023.pdf; pg 9, value for 2023=4,407,259,000_x000a_ _x000a_ Shell; 47.11.1.1 Shell Eastern Trad"/>
    <n v="6"/>
    <s v="NOT_FOUND"/>
    <n v="3"/>
    <s v="Extracted"/>
    <x v="1"/>
    <s v="Partial"/>
    <s v="Offtaker 3 years audited financial statement"/>
    <s v="Offtaker 3 years audited financial statement"/>
    <s v="Correct"/>
    <s v="09. Offtake"/>
    <s v="09. Offtake"/>
    <s v="Correct"/>
    <s v="YES"/>
    <x v="25"/>
    <s v="Extraction Layer"/>
    <x v="0"/>
    <s v="Manual Assessment_x000a__x000a_Should return 3-year historical values per offtaker._x000a_Extractor returned only latest year._x000a_Multi-year requirement ignored._x000a_Partial compliance._x000a__x000a_Issues_x000a_Historical dimension missing._x000a_Only latest year returned._x000a__x000a_Model defaulted to most rece"/>
    <x v="3"/>
    <s v="CRITICAL"/>
    <s v="Ground Truth (PEC)_x000a__x000a_Shell → 3 years values_x000a_PTT → 3 years values_x000a__x000a_Extracted_x000a_Initially marked NOT_FOUND but actually listed:_x000a__x000a_Shell → 2024 only_x000a_PTT → 2024 only_x000a__x000a_Credit risk modeling impacted"/>
  </r>
  <r>
    <s v="Offtaker Current Assets"/>
    <s v="per offtaker"/>
    <s v="Primitive"/>
    <s v="Medium"/>
    <s v="&quot;Shell; 47.11.1.1 Shell Eastern Trading Audited Financials FY 2022.pdf; pg 8, Current Asset value for 2022 = 21,319,920,000_x000a_ _x000a_ Shell; 47.11.1.1 Shell Eastern Trading Audited Financials FY 2023.pdf; pg 8, Current Asset value for 2023=15,454,863,000_x000a_ _x000a_ Shel"/>
    <n v="6"/>
    <s v="Shell Eastern Trading: 15509378; PTT International Trading: 2582425"/>
    <n v="2"/>
    <s v="Extracted"/>
    <x v="1"/>
    <s v="Partial"/>
    <s v="Offtaker 3 years audited financial statement"/>
    <s v="Offtaker 3 years audited financial statement"/>
    <s v="Correct"/>
    <s v="09. Offtake"/>
    <s v="09. Offtake"/>
    <s v="Correct"/>
    <s v="YES"/>
    <x v="26"/>
    <s v="Interpretation + Extraction"/>
    <x v="0"/>
    <s v="Manual Assessment_x000a_Shell correct (2024)._x000a_PTT incorrect (group vs company-level)._x000a_Historical years missing._x000a_Dimensional + entity-level misalignment._x000a__x000a_Issues_x000a__x000a_PTT incorrect base (group not company)._x000a_Historical years missing._x000a_Partial numeric mismatch._x000a__x000a_Model "/>
    <x v="3"/>
    <s v="CRITICAL"/>
    <s v="Ground Truth (PEC)_x000a__x000a_Shell → 3 years_x000a_PTT → 3 years (company-level)_x000a__x000a_Extracted_x000a__x000a_Shell → 2024 correct_x000a_PTT → Wrong value (group-level mismatch)_x000a_Only latest year provided."/>
  </r>
  <r>
    <s v="Offtaker Current Liabilities"/>
    <s v="per offtaker"/>
    <s v="Primitive"/>
    <s v="Medium"/>
    <s v="&quot;Shell; 47.11.1.1 Shell Eastern Trading Audited Financials FY 2022.pdf; pg 8, value for 2022 = 14,539,170,000_x000a_ _x000a_ Shell; 47.11.1.1 Shell Eastern Trading Audited Financials FY 2023.pdf; pg 8, value for 2023=11,284,630,000_x000a_ _x000a_ Shell; 47.11.1.1 Shell Eastern T"/>
    <n v="6"/>
    <n v="12078104"/>
    <n v="1"/>
    <s v="Extracted"/>
    <x v="1"/>
    <s v="Partial"/>
    <s v="Offtaker 3 years audited financial statement"/>
    <s v="Offtaker 3 years audited financial statement"/>
    <s v="Correct"/>
    <s v="09. Offtake"/>
    <s v="09. Offtake"/>
    <s v="Correct"/>
    <s v="YES"/>
    <x v="27"/>
    <s v="Extraction Layer"/>
    <x v="0"/>
    <s v="Manual Assessment_x000a__x000a_Shell 2024 value numerically correct (but in US$’000)._x000a_Historical years missing._x000a_PTT completely missing._x000a_Temporal + multi-entity coverage failure._x000a__x000a_Issues_x000a__x000a_Only latest year extracted._x000a_PTT liabilities missing._x000a_Unit scaling inconsistency "/>
    <x v="3"/>
    <s v="CRITICAL"/>
    <s v="Ground Truth (PEC)_x000a__x000a_Shell (3 years):_x000a_2022 → 14,539,170,000_x000a_2023 → 11,284,630,000_x000a_2024 → 12,078,104,000_x000a__x000a_PTT (3 years, company level):_x000a_2022 → 2,047,461,678_x000a_2023 → 2,350,856,731_x000a_2024 → 2,158,574,000_x000a__x000a_Extracted_x000a_Shell → 12,078,104 (FY2024 only, in thousands)_x000a_"/>
  </r>
  <r>
    <s v="Offtaker EBIT (Earnings Before Interest &amp; Taxes)"/>
    <s v="per offtaker"/>
    <s v="Derived"/>
    <s v="Medium"/>
    <s v="Shell; 47.11.1.1 Shell Eastern Trading Audited Financials FY 2022.pdf; pg 7, &quot;Profit before tax&quot;: value for 2022 = 6,221,173,000_x000a_ _x000a_ Shell; 47.11.1.1 Shell Eastern Trading Audited Financials FY 2023.pdf; pg 7, &quot;Profit before tax&quot;: value for 2023=2,088,510,"/>
    <n v="6"/>
    <s v="{'Shell Eastern Trading (Pte) Ltd': 1840990, 'PTT International Trading Pte Ltd (Group)': 78907}"/>
    <n v="2"/>
    <s v="Extracted"/>
    <x v="5"/>
    <s v="Partial"/>
    <s v="Offtaker 3 years audited financial statement"/>
    <s v="Offtaker 3 years audited financial statement"/>
    <s v="Correct"/>
    <s v="09. Offtake"/>
    <s v="09. Offtake"/>
    <s v="Correct"/>
    <s v="YES"/>
    <x v="28"/>
    <s v="Interpretation + Extraction"/>
    <x v="0"/>
    <s v="Manual Assessment_x000a__x000a_Used EBIT derivation instead of PEC reference metric (PBT)._x000a_Shell value incorrect (1,840,990 vs 1,954,797)._x000a_PTT slightly off (78,907 vs 78,015)._x000a_Historical years missing._x000a_Wrong financial line item logic._x000a__x000a_Issues_x000a_Wrong metric (EBIT vs PB"/>
    <x v="5"/>
    <s v="CRITICAL"/>
    <s v="Ground Truth (PEC uses Profit Before Tax proxy)_x000a__x000a_Shell (3 years):_x000a_2022 → 6,221,173,000_x000a_2023 → 2,088,510,000_x000a_2024 → 1,954,797,000_x000a__x000a_PTT (3 years):_x000a_2022 → 76,907,235_x000a_2023 → 101,217,229_x000a_2024 → 78,015,000_x000a__x000a_Extracted_x000a_Shell → 1,840,990 (derived EBIT, FY2024 only"/>
  </r>
  <r>
    <s v="Offtaker Retained Earnings"/>
    <s v="per offtaker"/>
    <s v="Primitive"/>
    <s v="Medium"/>
    <s v="Shell; 47.11.1.1 Shell Eastern Trading Audited Financials FY 2022.pdf; pg 9, value for 2022 = 5,930,393,000_x000a_ _x000a_ Shell; 47.11.1.1 Shell Eastern Trading Audited Financials FY 2023.pdf; pg 9, value for 2023=3,558,603,000_x000a_ _x000a_ Shell; 47.11.1.1 Shell Eastern Trad"/>
    <n v="6"/>
    <s v="NOT_FOUND"/>
    <n v="0"/>
    <s v="Extracted"/>
    <x v="5"/>
    <s v="NONE"/>
    <s v="Offtaker 3 years audited financial statement"/>
    <s v="Offtaker 3 years audited financial statement"/>
    <s v="Correct"/>
    <s v="09. Offtake"/>
    <s v="09. Offtake"/>
    <s v="Correct"/>
    <s v="YES"/>
    <x v="23"/>
    <s v="Extraction Layer"/>
    <x v="0"/>
    <s v="Manual Assessment_x000a__x000a_All values clearly present in audited financials._x000a_Extractor failed completely._x000a_Clear extraction-layer failure._x000a__x000a_Issues_x000a__x000a_Complete failure despite evidence present._x000a_Multi-year and multi-entity ignored._x000a__x000a_Model unable to detect retained ear"/>
    <x v="5"/>
    <s v="CRITICAL"/>
    <s v="Ground Truth (PEC)_x000a__x000a_Shell (3 years):_x000a_2022 → 5,930,393,000_x000a_2023 → 3,558,603,000_x000a_2024 → 2,817,214,000_x000a__x000a_PTT (3 years, company level):_x000a_2022 → 228,369,349_x000a_2023 → 313,440,682_x000a_2024 → 363,188,000_x000a__x000a_Extracted_x000a_NOT_FOUND_x000a__x000a_Equity cushion analysis blocked"/>
  </r>
  <r>
    <s v="Offtaker Total Assets"/>
    <s v="per offtaker"/>
    <s v="Primitive"/>
    <s v="Medium"/>
    <s v="Shell; 47.11.1.1 Shell Eastern Trading Audited Financials FY 2022.pdf; pg 8, value for 2022 = 21,822,162,000_x000a_ _x000a_ Shell; 47.11.1.1 Shell Eastern Trading Audited Financials FY 2023.pdf; pg 8, value for 2023 = 16,075,492,000_x000a_ _x000a_ Shell; 47.11.1.1 Shell Eastern "/>
    <n v="6"/>
    <s v="NOT_FOUND"/>
    <n v="0"/>
    <s v="Extracted"/>
    <x v="5"/>
    <s v="NONE"/>
    <s v="Offtaker 3 years audited financial statement"/>
    <s v="Offtaker 3 years audited financial statement"/>
    <s v="Correct"/>
    <s v="09. Offtake"/>
    <s v="09. Offtake"/>
    <s v="Correct"/>
    <s v="YES"/>
    <x v="29"/>
    <s v="Extraction Layer"/>
    <x v="0"/>
    <s v="Manual Assessment_x000a__x000a_All figures available in balance sheets._x000a_Extractor returned none._x000a_Clear failure in numeric financial extraction._x000a__x000a_Issues_x000a_Total asset line not recognized._x000a_Company-level computation (PTT sum) not captured._x000a_Temporal dimension ignored._x000a__x000a_Mod"/>
    <x v="5"/>
    <s v="CRITICAL"/>
    <s v="Ground Truth (PEC)_x000a__x000a_Shell (3 years):_x000a_2022 → 21,822,162,000_x000a_2023 → 16,075,492,000_x000a_2024 → 16,127,552,000_x000a__x000a_PTT (company level):_x000a_2022 → 2,281,045,518_x000a_2023 → 2,668,732,239_x000a_2024 → 2,526,455,000_x000a__x000a_Extracted_x000a_NOT_FOUND_x000a__x000a_Leverage &amp; solvency metrics blocked"/>
  </r>
  <r>
    <s v="Operating Days Per Year"/>
    <s v="per project, per calendar year"/>
    <s v="Derived"/>
    <s v="Medium"/>
    <s v="project finance model, _x000a_ excel sheet: C_ops_x000a_ row 13, sum up for each year_x000a_ 358 days per calendar year"/>
    <n v="1"/>
    <s v="NOT_FOUND"/>
    <n v="0"/>
    <s v="Extracted"/>
    <x v="5"/>
    <s v="NONE"/>
    <s v="Project Finance Model"/>
    <s v="Project Finance Model"/>
    <s v="Correct"/>
    <s v="02. Financials &amp; Commercial"/>
    <s v="02. Financials &amp; Commercial"/>
    <s v="Correct"/>
    <s v="YES"/>
    <x v="30"/>
    <s v="Retrieval + Interpretation"/>
    <x v="2"/>
    <s v="Manual Assessment_x000a__x000a_Extractor misunderstood structure._x000a_Assumed dynamic model logic instead of fixed annual operating days._x000a_Clear financial model navigation failure._x000a__x000a_Issues_x000a__x000a_Excel model navigation issue._x000a_Derived value logic not implemented._x000a__x000a_Model misinter"/>
    <x v="3"/>
    <s v="High"/>
    <s v="Ground Truth (PEC)_x000a_Project Finance Model → C_ops → Row 13_x000a_358 days per calendar year_x000a__x000a_Extracted_x000a_NOT_FOUND_x000a__x000a_Throughput modeling affected"/>
  </r>
  <r>
    <s v="Performance and Warranty Bond Percentage"/>
    <s v="per project"/>
    <s v="Primitive"/>
    <s v="Medium"/>
    <s v="EPCC Contract, 47.3.1.1.1.1 EPCC Contract - CNCEC+PEC.docx, pg42 of document, _x000a_ _x000a_ Prior to the Commencement Date, the Contractor shall furnish an unconditional, on-demand and irrevocable bank guarantee payable on first demand of the Owner, issued by an Ac"/>
    <n v="2"/>
    <n v="15"/>
    <n v="1"/>
    <s v="Extracted"/>
    <x v="1"/>
    <s v="Partial"/>
    <s v="EPCC Contract"/>
    <s v="EPCC Contract"/>
    <s v="Correct"/>
    <s v="07. Engineering, Procurement &amp; Construction"/>
    <s v="07. Engineering, Procurement &amp; Construction"/>
    <s v="Correct"/>
    <s v="YES"/>
    <x v="31"/>
    <s v="Extraction Layer"/>
    <x v="0"/>
    <s v="Manual Assessment_x000a_15% correctly extracted._x000a__x000a_However:_x000a_Reduction clause (7.5%) not captured._x000a_Partial structural completeness_x000a__x000a_Issues_x000a_Post-IAC reduction clause omitted._x000a_Lifecycle logic not captured._x000a__x000a_Model stopped at first percentage reference"/>
    <x v="0"/>
    <s v="Medium"/>
    <s v="Ground Truth (PEC)_x000a_15% initial_x000a_Reduced to 7.5% after Initial Acceptance Certificate_x000a__x000a_Extracted_x000a_15_x000a__x000a_Commercial risk still largely captured"/>
  </r>
  <r>
    <s v="Project Capacity (main product)"/>
    <s v="per project"/>
    <s v="Primitive"/>
    <s v="Medium"/>
    <s v="47.3.2.1.1.1.1 01_PEC En.pdf_x000a_ _x000a_ document page 36, Ans: 1683 KMTA of Paraxylene"/>
    <n v="1"/>
    <s v="Para-xylene: 1,683,000 KMTA (4,808 Metric Tons per Operating Day); Benzene: 591,000 KMTA (1,688 Metric Tons per Operating Day)"/>
    <n v="2"/>
    <s v="Extracted"/>
    <x v="1"/>
    <s v="OVER"/>
    <s v="Engineering Agreement (Tech Supplier)"/>
    <s v="Engineering Agreement (Tech Supplier)"/>
    <s v="Correct"/>
    <s v="06. Technology"/>
    <s v="06. Technology"/>
    <s v="Correct"/>
    <s v="YES"/>
    <x v="32"/>
    <s v="Interpretation Layer"/>
    <x v="4"/>
    <s v="Manual Assessment_x000a_Main product (Paraxylene) correctly identified.=_x000a_Correct nominal capacity (1683 KMTA)._x000a_Additional benzene details are extra but not incorrect._x000a_However, extractor inflated unit to “1,683,000 KMTA” (unit distortion)._x000a_Should be 1683 KMTA, n"/>
    <x v="0"/>
    <s v="High"/>
    <s v="Ground Truth (PEC)_x000a_1683 KMTA of Paraxylene_x000a_(Source: Engineering Agreement – Page 36)_x000a__x000a_Extracted_x000a_Para-xylene → 1,683,000 KMTA_x000a_Benzene → 591,000 KMTA_x000a__x000a_Nameplate capacity concept understood but unit logic flawed"/>
  </r>
  <r>
    <s v="Project Country"/>
    <s v="per project"/>
    <s v="Primitive"/>
    <s v="Medium"/>
    <s v="47.1.6 06_PEC Pitch_Jan 26_Sub Debt.pdf _x000a_ _x000a_ pg3_x000a_ _x000a_ Ans: Malaysia"/>
    <n v="1"/>
    <s v="Malaysia"/>
    <n v="1"/>
    <s v="Extracted"/>
    <x v="4"/>
    <s v="Full"/>
    <s v="Site Location Maps"/>
    <s v="Site Location Maps"/>
    <s v="Correct"/>
    <s v="03. Site, Land &amp; Access Rights"/>
    <s v="03. Site, Land &amp; Access Rights"/>
    <s v="Correct"/>
    <s v="YES"/>
    <x v="5"/>
    <s v="None"/>
    <x v="1"/>
    <s v="Manual Assessment_x000a_Correct country._x000a_Exact match."/>
    <x v="2"/>
    <s v="None"/>
    <s v="Ground Truth (PEC)_x000a_Malaysia_x000a__x000a_Extracted_x000a_Malaysia"/>
  </r>
  <r>
    <s v="Project Location"/>
    <s v="per project"/>
    <s v="Primitive"/>
    <s v="Medium"/>
    <s v="47.1.6 06_PEC Pitch_Jan 26_Sub Debt.pdf _x000a_ _x000a_ pg3_x000a_ _x000a_ Ans:_x000a_ Pengerang Integrated Petrochemical Complex (PIPC)"/>
    <n v="1"/>
    <s v="NOT_FOUND"/>
    <n v="0"/>
    <s v="Extracted"/>
    <x v="5"/>
    <s v="NONE"/>
    <s v="Site Location Maps"/>
    <s v="Site Location Maps"/>
    <s v="Correct"/>
    <s v="03. Site, Land &amp; Access Rights"/>
    <s v="03. Site, Land &amp; Access Rights"/>
    <s v="Correct"/>
    <s v="YES"/>
    <x v="33"/>
    <s v="Interpretation Layer"/>
    <x v="4"/>
    <s v="Manual Assessment_x000a__x000a_Location clearly stated in pitch deck._x000a_Extractor incorrectly searched for GPS coordinates instead of site name._x000a_Definition confusion (label says GPS, PEC answer gives site name)._x000a_Extraction-layer misunderstanding of expected output form"/>
    <x v="0"/>
    <s v="High"/>
    <s v="Ground Truth (PEC)_x000a_Pengerang Integrated Petrochemical Complex (PIPC)_x000a__x000a_Extracted_x000a_NOT_FOUND_x000a__x000a_Simple site-name extraction failed"/>
  </r>
  <r>
    <s v="Project Total Capex"/>
    <s v="per project"/>
    <s v="Primitive"/>
    <s v="Medium"/>
    <s v="From Project Finance Model - Dashboard, M31 = 3,765,250,000"/>
    <n v="1"/>
    <n v="-379524"/>
    <n v="1"/>
    <s v="Extracted"/>
    <x v="5"/>
    <s v="Full"/>
    <s v="Project Finance Model"/>
    <s v="Project Finance Model"/>
    <s v="Correct"/>
    <s v="02. Financials &amp; Commercial"/>
    <s v="02. Financials &amp; Commercial"/>
    <s v="Correct"/>
    <s v="YES"/>
    <x v="34"/>
    <s v="Retrieval + Interpretation"/>
    <x v="2"/>
    <s v="Manual Assessment_x000a__x000a_Extractor pulled single-year construction phase value._x000a_Ignored Dashboard total._x000a_Negative sign misinterpreted._x000a_Wrong sheet selection._x000a_Clear financial model navigation failure._x000a__x000a_Issues_x000a_Wrong sheet (Output_Annual instead of Dashboard)._x000a_Pul"/>
    <x v="5"/>
    <s v="CRITICAL"/>
    <s v="Ground Truth (PEC)_x000a_3,765,250,000 (Project Finance Model – Dashboard M31)_x000a__x000a_Extracted_x000a_-379,524 (USDk, construction year only)_x000a__x000a__x000a_Major distortion of project size"/>
  </r>
  <r>
    <s v="Project Total Raise"/>
    <s v="per project"/>
    <s v="Primitive"/>
    <s v="Medium"/>
    <s v="47.1.6 06_PEC Pitch_Jan 26_Sub Debt.pdf, pg 15, _x000a_ _x000a_ Ans: USD 5.4 bln"/>
    <n v="1"/>
    <n v="5411.6"/>
    <n v="1"/>
    <s v="Extracted"/>
    <x v="4"/>
    <s v="Full"/>
    <s v="Pitch Deck"/>
    <s v="Pitch Deck"/>
    <s v="Correct"/>
    <s v="02. Financials &amp; Commercial"/>
    <s v="02. Financials &amp; Commercial"/>
    <s v="Correct"/>
    <s v="YES"/>
    <x v="5"/>
    <s v="None"/>
    <x v="1"/>
    <s v="Manual Assessment_x000a_5411.6 million ≈ 5.4 billion._x000a_Correct economic magnitude._x000a_Minor rounding difference._x000a__x000a_Issues_x000a_Minor rounding precision."/>
    <x v="2"/>
    <s v="None"/>
    <s v="Ground Truth (PEC)_x000a_USD 5.4 billion_x000a__x000a_Extracted_x000a_5411.6 (USD millions)"/>
  </r>
  <r>
    <s v="Storage Cost Formula"/>
    <s v="per project"/>
    <s v="Primitive"/>
    <s v="Medium"/>
    <s v="sum of Charges per month x total capacity, and partial basis of 40% pegged to malaysia consumer price index and applicable price index is capped at 3%"/>
    <n v="1"/>
    <s v="Monthly Storage Fee = Tariff (S$/m³/month) x Total Capacity (m³); with annual CPI escalation: (Y) = (Y-1) * (IF), where (Y) = Fixed Charges in prevailing contractual year, (Y-1) = Fixed Charges in preceding contractual year, (IF) = Escalation Factor = 1 +"/>
    <n v="1"/>
    <s v="Extracted"/>
    <x v="1"/>
    <s v="OVER"/>
    <s v="Terminal Service Agreement (TSA)"/>
    <s v="Terminal Service Agreement (TSA)"/>
    <s v="Correct"/>
    <s v="08. Operations &amp; Management"/>
    <s v="08. Operations &amp; Management"/>
    <s v="Correct"/>
    <s v="YES"/>
    <x v="35"/>
    <s v="Interpretation"/>
    <x v="4"/>
    <s v="Manual Assessment_x000a_Core structure correct._x000a_Captured CPI 40% weight and 3% cap._x000a_More detailed than PEC baseline._x000a_Slight terminology deviation (tariff vs sum of charges)._x000a_Economically aligned._x000a__x000a_Issues_x000a_Terminology variation._x000a_Expanded into multiple sub-compone"/>
    <x v="4"/>
    <s v="Low"/>
    <s v="Ground Truth (PEC)_x000a__x000a_Sum of charges per month × total capacity_x000a_40% pegged to Malaysia CPI_x000a_CPI capped at 3%_x000a__x000a_Extracted_x000a__x000a_Tariff × Total Capacity_x000a_Annual escalation: 1 + 0.4 × CPI_x000a_CPI cap 3%, floor 0%"/>
  </r>
  <r>
    <s v="Storage Demurrage Rate Cap"/>
    <s v="per project"/>
    <s v="Primitive"/>
    <s v="Medium"/>
    <s v="SGD 100,000 per year"/>
    <n v="1"/>
    <n v="100000"/>
    <n v="1"/>
    <s v="Extracted"/>
    <x v="4"/>
    <s v="Full"/>
    <s v="Storage &amp; Handling Agreement / Plan"/>
    <s v="Storage &amp; Handling Agreement / Plan"/>
    <s v="Correct"/>
    <s v="08. Operations &amp; Management"/>
    <s v="08. Operations &amp; Management"/>
    <s v="Correct"/>
    <s v="YES"/>
    <x v="5"/>
    <s v="None"/>
    <x v="1"/>
    <s v="Manual Assessment_x000a_Numeric value correct._x000a_Context (currency + per year) implied._x000a_Exact economic match."/>
    <x v="2"/>
    <s v="None"/>
    <s v="Ground Truth (PEC)_x000a_SGD 100,000 per year_x000a__x000a_Extracted_x000a_100000"/>
  </r>
  <r>
    <s v="Storage Terminal Construction Liquidated Damages Cap"/>
    <s v="per project"/>
    <s v="Primitive"/>
    <s v="Medium"/>
    <s v="daily rate of SGD 100,000 per day per condensate tank, SGD 80,000 per day per other product tank, capped at 6 months."/>
    <s v="3_x000a_(100k rate, 80k rate, 6-month cap)"/>
    <n v="14400000"/>
    <n v="1"/>
    <s v="Extracted"/>
    <x v="5"/>
    <s v="Partial"/>
    <s v="Terminal Service Agreement (TSA)"/>
    <s v="Terminal Service Agreement (TSA)"/>
    <s v="Correct"/>
    <s v="08. Operations &amp; Management"/>
    <s v="08. Operations &amp; Management"/>
    <s v="Correct"/>
    <s v="YES"/>
    <x v="36"/>
    <s v="Interpretation Layer"/>
    <x v="4"/>
    <s v="Manual Assessment_x000a_Extractor calculated:_x000a_80,000 × 180 days = 14,400,000_x000a_But:_x000a_Missed the 100,000 condensate rate_x000a_Converted time cap (6 months) into monetary cap_x000a_Ignored multi-rate structure_x000a_Ground truth expects rate structure + time cap, not computed total."/>
    <x v="3"/>
    <s v="CRITICAL"/>
    <s v="Ground Truth (PEC)_x000a_Daily rate:_x000a_SGD 100,000 per day per condensate tank_x000a_SGD 80,000 per day per other product tank_x000a_Capped at 6 months_x000a__x000a_Extracted_x000a_14,400,000 (SGD)_x000a__x000a_Financial risk clause materially misrepresented"/>
  </r>
  <r>
    <s v="Storage Terminal Construction Liquidated Damages Rate"/>
    <s v="per project, per type of product"/>
    <s v="Primitive"/>
    <s v="Medium"/>
    <s v="daily rate of SGD 100,000 per day per condensate tank, SGD 80,000 per day per other product tank"/>
    <n v="2"/>
    <n v="80000"/>
    <n v="1"/>
    <s v="Extracted"/>
    <x v="1"/>
    <s v="Partial"/>
    <s v="Terminal Service Agreement (TSA)"/>
    <s v="Terminal Service Agreement (TSA)"/>
    <s v="Correct"/>
    <s v="08. Operations &amp; Management"/>
    <s v="08. Operations &amp; Management"/>
    <s v="Correct"/>
    <s v="YES"/>
    <x v="37"/>
    <s v="Extraction Layer"/>
    <x v="0"/>
    <s v="Manual Assessment_x000a_Captured only one rate._x000a_Missed condensate tank rate (100,000)._x000a_Ground truth requires dual-rate structure._x000a_Single float insufficient for this datapoint_x000a__x000a_Issues_x000a__x000a_Partial multi-product coverage._x000a_Lost risk differentiation between tank types."/>
    <x v="3"/>
    <s v="High"/>
    <s v="Ground Truth (PEC)_x000a_SGD 100,000 per day per condensate tank_x000a_SGD 80,000 per day per other product tank_x000a__x000a_Extracted_x000a_80,000_x000a__x000a_Risk severity differs per tank type — material miss"/>
  </r>
  <r>
    <s v="Storage Terminal Contract Term"/>
    <s v="per project"/>
    <s v="Primitive"/>
    <s v="Medium"/>
    <s v="25 years"/>
    <n v="1"/>
    <s v="NOT_FOUND"/>
    <n v="0"/>
    <s v="Extracted"/>
    <x v="5"/>
    <s v="NONE"/>
    <s v="Terminal Service Agreement (TSA)"/>
    <s v="Terminal Service Agreement (TSA)"/>
    <s v="Correct"/>
    <s v="08. Operations &amp; Management"/>
    <s v="08. Operations &amp; Management"/>
    <s v="Correct"/>
    <s v="NO"/>
    <x v="9"/>
    <s v="Retrieval Layer"/>
    <x v="2"/>
    <s v="Manual Assessment_x000a_Contract term clearly defined in TSA._x000a_Model reviewed document but did not retrieve correct section._x000a_Likely section truncation / chunking issue._x000a_Classic retrieval insufficiency._x000a__x000a_Issues_x000a_Missed simple numeric clause._x000a_Failure in document se"/>
    <x v="3"/>
    <s v="CRITICAL"/>
    <s v="Ground Truth (PEC)_x000a_25 years_x000a__x000a_Extracted_x000a_NOT_FOUND"/>
  </r>
  <r>
    <s v="Storage Terminal Contract Term Extension"/>
    <s v="per project"/>
    <s v="Primitive"/>
    <s v="Medium"/>
    <s v="not available"/>
    <n v="0"/>
    <s v="NOT_FOUND"/>
    <n v="0"/>
    <s v="Extracted"/>
    <x v="4"/>
    <s v="Full"/>
    <s v="Terminal Service Agreement (TSA)"/>
    <s v="Terminal Service Agreement (TSA)"/>
    <s v="Correct"/>
    <s v="08. Operations &amp; Management"/>
    <s v="08. Operations &amp; Management"/>
    <s v="Correct"/>
    <s v="YES"/>
    <x v="5"/>
    <s v="None"/>
    <x v="1"/>
    <s v="None"/>
    <x v="2"/>
    <s v="None"/>
    <s v="Ground Truth (PEC)_x000a_Not available_x000a__x000a_Extracted_x000a_NOT_FOUND"/>
  </r>
  <r>
    <s v="Storage Terminal Contract Term Start Year"/>
    <s v="per project"/>
    <s v="Primitive"/>
    <s v="Medium"/>
    <s v="aligned with commencement year"/>
    <n v="1"/>
    <s v="NOT_FOUND"/>
    <n v="0"/>
    <s v="Extracted"/>
    <x v="5"/>
    <s v="NONE"/>
    <s v="Terminal Service Agreement (TSA)"/>
    <s v="Terminal Service Agreement (TSA)"/>
    <s v="Correct"/>
    <s v="08. Operations &amp; Management"/>
    <s v="08. Operations &amp; Management"/>
    <s v="Correct"/>
    <s v="YES"/>
    <x v="38"/>
    <s v="Interpretation Layer"/>
    <x v="4"/>
    <s v="Manual Assessment_x000a_Ground truth expects alignment with commencement._x000a_Model attempted to compute procedural mechanics._x000a_Missed simplified expected answer._x000a_Over-analysis instead of clause extraction._x000a__x000a_Issues_x000a_Overly analytical interpretation._x000a_Missed direct ans"/>
    <x v="0"/>
    <s v="High"/>
    <s v="Ground Truth (PEC)_x000a_Aligned with commencement year_x000a__x000a_Extracted_x000a_NOT_FOUND_x000a__x000a_Simple alignment clause missed"/>
  </r>
  <r>
    <s v="Storage Terminal Handling Entity"/>
    <s v="per project"/>
    <s v="Primitive"/>
    <s v="Medium"/>
    <s v="Dialog Terminal"/>
    <n v="1"/>
    <s v="PITSB"/>
    <n v="1"/>
    <s v="Extracted"/>
    <x v="5"/>
    <s v="Full"/>
    <s v="Terminal Service Agreement (TSA)"/>
    <s v="Terminal Service Agreement (TSA)"/>
    <s v="Correct"/>
    <s v="08. Operations &amp; Management"/>
    <s v="08. Operations &amp; Management"/>
    <s v="Correct"/>
    <s v="YES"/>
    <x v="39"/>
    <s v="Interpretation Layer"/>
    <x v="4"/>
    <s v="Manual Assessment_x000a_PITSB = operational entity in TSA._x000a_Dialog Terminal = parent / terminal branding entity (PEC expected answer)._x000a_Extractor selected legal counterparty instead of branded handling entity._x000a_Entity-level misalignment._x000a__x000a_Issues_x000a_Entity resolution "/>
    <x v="0"/>
    <s v="High"/>
    <s v="Ground Truth (PEC)_x000a_Dialog Terminal_x000a__x000a_Extracted_x000a_PITSB_x000a__x000a_Corporate structure mapping needed"/>
  </r>
  <r>
    <s v="Storage Terminal Liability Cap"/>
    <s v="per project"/>
    <s v="Primitive"/>
    <s v="Medium"/>
    <s v="SGD 3M per year"/>
    <n v="1"/>
    <s v="NOT_FOUND"/>
    <n v="0"/>
    <s v="Extracted"/>
    <x v="5"/>
    <s v="NONE"/>
    <s v="Storage &amp; Handling Agreement / Plan"/>
    <s v="Storage &amp; Handling Agreement / Plan"/>
    <s v="Correct"/>
    <s v="08. Operations &amp; Management"/>
    <s v="08. Operations &amp; Management"/>
    <s v="Correct"/>
    <s v="NO"/>
    <x v="9"/>
    <s v="Retrieval Layer"/>
    <x v="2"/>
    <s v="Manual Assessment_x000a_Clause exists in TSA (overall liability cap)._x000a_Extractor located liability section but did not retrieve cap value._x000a_Likely chunk truncation of Clause 28.1.5._x000a_Clear retrieval failure._x000a__x000a_Issues_x000a_Missed clearly defined monetary cap._x000a_Retrieved c"/>
    <x v="3"/>
    <s v="CRITICAL"/>
    <s v="Ground Truth (PEC)_x000a_SGD 3M per year_x000a__x000a_Extracted_x000a_NOT_FOUND_x000a__x000a_Liability cap is major risk control term"/>
  </r>
  <r>
    <s v="Total Feedstock Supply Contracted Baseline"/>
    <s v="per year, per feedstock"/>
    <s v="Derived"/>
    <s v="Medium"/>
    <s v="To get the sum across the two contracts. _x000a_ _x000a_ (not so easy, we need conversion of units before addition)"/>
    <n v="3"/>
    <s v="Condensate: 30 million barrels; Full Range Naphtha: 170 KT"/>
    <n v="2"/>
    <s v="Extracted"/>
    <x v="1"/>
    <s v="Partial"/>
    <s v="Feedstock Supply Agreements"/>
    <s v="Feedstock Supply Agreements"/>
    <s v="Correct"/>
    <s v="05. Feedstock"/>
    <s v="05. Feedstock"/>
    <s v="Correct"/>
    <s v="YES"/>
    <x v="40"/>
    <s v="Post-Processing / Computation Layer"/>
    <x v="3"/>
    <s v="Manual Assessment_x000a_Correct raw quantities extracted._x000a_Did NOT:_x000a_Convert units_x000a_Sum across suppliers_x000a_Produce final float baseline_x000a_Extraction correct._x000a_Computation incomplete._x000a__x000a_Issues_x000a__x000a_Missing aggregation step._x000a_No unit harmonization._x000a__x000a_Model not configured to per"/>
    <x v="3"/>
    <s v="High"/>
    <s v="Ground Truth (PEC)_x000a_Requires aggregation across contracts_x000a_Unit conversion required before summation_x000a__x000a_Extracted_x000a_Condensate: 30 million barrels_x000a_Full Range Naphtha: 170 KT_x000a__x000a_Financial baseline incomplete"/>
  </r>
  <r>
    <s v="Total Fixed Cost"/>
    <s v="per year, month, and day"/>
    <s v="Primitive"/>
    <s v="Medium"/>
    <s v="Apr 2026 - Dec 2029:_x000a_ C_Cons Sheet, F113 Total Capex = 3,765,250,000 _x000a_ _x000a_ Jan 2030 onwards:_x000a_ Project Finance Model, C_Ops Sheet, Row 773 Total Fixed Cost, ALL"/>
    <n v="5"/>
    <s v="NOT_FOUND"/>
    <n v="0"/>
    <s v="Extracted"/>
    <x v="5"/>
    <s v="NONE"/>
    <s v="Project Finance Model"/>
    <s v="Project Finance Model"/>
    <s v="Correct"/>
    <s v="02. Financials &amp; Commercial"/>
    <s v="02. Financials &amp; Commercial"/>
    <s v="Correct"/>
    <s v="NO"/>
    <x v="41"/>
    <s v="Retrieval + Interpretation"/>
    <x v="2"/>
    <s v="Manual Assessment_x000a_Extractor identified components but failed to pull:_x000a_Construction phase total_x000a_Ops total fixed cost line_x000a_Sheet navigation failure._x000a_Model got stuck at line items instead of total row._x000a__x000a_Issues_x000a__x000a_Wrong row selection._x000a_Aggregation failure._x000a_Misse"/>
    <x v="5"/>
    <s v="CRITICAL"/>
    <s v="Ground Truth (PEC)_x000a_Construction phase: 3,765,250,000_x000a_Operations phase: Row 773 (C_Ops sheet)_x000a__x000a_Extracted_x000a_NOT_FOUND_x000a__x000a_Direct financial model failure"/>
  </r>
  <r>
    <s v="Total Storage Cost"/>
    <s v="per project"/>
    <s v="Primitive"/>
    <s v="Medium"/>
    <s v="SGD 10, 809, 637, monthly"/>
    <n v="1"/>
    <n v="118242.5"/>
    <n v="1"/>
    <s v="Extracted"/>
    <x v="5"/>
    <s v="Full"/>
    <s v="Terminal Service Agreement (TSA)"/>
    <s v="Terminal Service Agreement (TSA)"/>
    <s v="Correct"/>
    <s v="08. Operations &amp; Management"/>
    <s v="08. Operations &amp; Management"/>
    <s v="Correct"/>
    <s v="YES"/>
    <x v="42"/>
    <s v="Retrieval Layer"/>
    <x v="2"/>
    <s v="Manual Assessment_x000a_Extractor pulled financial model USD-converted annual number._x000a_Ground truth expects TSA monthly SGD number._x000a_Wrong source selection._x000a_Currency mismatch._x000a_Time-basis mismatch._x000a__x000a_Issues_x000a_Wrong document source (model vs TSA)._x000a_Currency conversion "/>
    <x v="3"/>
    <s v="High"/>
    <s v="Ground Truth (PEC)_x000a_SGD 10,809,637 monthly_x000a__x000a_Extracted_x000a_118,242.5 (USDk per year)_x000a__x000a_Contractual vs modeled value confusion"/>
  </r>
  <r>
    <s v="Types of Feedstock Contracted"/>
    <s v="per project"/>
    <s v="Derived"/>
    <s v="Medium"/>
    <s v="Condensate, Naphtha"/>
    <n v="2"/>
    <s v="Condensate (from a basket of pre-agreed grades including: Permian Light Crude / Condensate, North West Shelf Condensate, Gorgon Condensate, Wheatstone Condensate, Bayu Undan Condensate, Senipah Condensate, Geragai Condensate, Bintulu Condensate, Rong Doi "/>
    <n v="2"/>
    <s v="Extracted"/>
    <x v="4"/>
    <s v="OVER"/>
    <s v="Feedstock Supply Agreements"/>
    <s v="Feedstock Supply Agreements"/>
    <s v="Correct"/>
    <s v="05. Feedstock"/>
    <s v="05. Feedstock"/>
    <s v="Correct"/>
    <s v="YES"/>
    <x v="43"/>
    <s v="Interpretation Layer"/>
    <x v="4"/>
    <s v="Manual Assessment_x000a_Correct categories identified._x000a_Extractor over-expanded into grade-level details._x000a_Economically correct._x000a_Schema expects simple list._x000a__x000a_Issues:_x000a_Over-detailed output._x000a_Schema misalignment._x000a__x000a_Model expanded nested grade information"/>
    <x v="4"/>
    <s v="Low"/>
    <s v="Ground Truth (PEC)_x000a_Condensate_x000a_Naphtha_x000a__x000a_Extracted_x000a_Condensate (expanded grades list)_x000a_Full Range Naphtha (with quality specs)_x000a__x000a_Semantically correct"/>
  </r>
  <r>
    <s v="First Full Year Revenue"/>
    <s v="1. per project_x000a_ 2. per scenario"/>
    <s v="Derived"/>
    <s v="Medium"/>
    <s v="Project Finance Model, C_Output Sheet, Row 22, Columns EO:EZ (Jan 2030 - Dec 2030) = 5,415,615,000"/>
    <n v="1"/>
    <n v="5415614.7039999999"/>
    <n v="1"/>
    <s v="Extracted"/>
    <x v="4"/>
    <s v="Full"/>
    <s v="Project Finance Model"/>
    <s v="Project Finance Model"/>
    <s v="Correct"/>
    <s v="02. Financials &amp; Commercial"/>
    <s v="02. Financials &amp; Commercial"/>
    <s v="Correct"/>
    <s v="YES"/>
    <x v="44"/>
    <s v="Post-Processing / Computation Layer"/>
    <x v="3"/>
    <s v="Manual Assessment_x000a_Correct magnitude._x000a_Unit difference (USDk vs USD)._x000a_Minor rounding._x000a_Economically aligned._x000a__x000a_Issues_x000a_Unit normalization required._x000a__x000a_Model outputs in USDk"/>
    <x v="4"/>
    <s v="Low"/>
    <s v="Ground Truth (PEC)_x000a_5,415,615,000_x000a__x000a_Extracted_x000a_5,415,614.704 (USDk)"/>
  </r>
  <r>
    <s v="First Full Year COGS"/>
    <s v="1. per project_x000a_ 2. per scenario"/>
    <s v="Derived"/>
    <s v="Medium"/>
    <s v="Project Finance Model, C_Ops Sheet, Row 607 (Total feedstock cost excluding Working capital charges) EO:EZ = 3,559,763,000"/>
    <n v="1"/>
    <n v="-4393429.426"/>
    <n v="1"/>
    <s v="Extracted"/>
    <x v="5"/>
    <s v="Full"/>
    <s v="Project Finance Model"/>
    <s v="Project Finance Model"/>
    <s v="Correct"/>
    <s v="02. Financials &amp; Commercial"/>
    <s v="02. Financials &amp; Commercial"/>
    <s v="Correct"/>
    <s v="YES"/>
    <x v="41"/>
    <s v="Interpretation Layer"/>
    <x v="4"/>
    <s v="Manual Assessment_x000a_Wrong row selected_x000a_Sign inversion._x000a_Magnitude mismatch._x000a_Pulled total feedstock cost instead of defined COGS row._x000a__x000a_Issues_x000a__x000a_Wrong metric selection._x000a_Negative sign distortion._x000a__x000a_Confused feedstock cost with defined COGS"/>
    <x v="5"/>
    <s v="CRITICAL"/>
    <s v="Ground Truth (PEC)_x000a_3,559,763,000_x000a__x000a_Extracted_x000a_-4,393,429.426 (USDk)_x000a__x000a_Operating margin impact"/>
  </r>
  <r>
    <s v="First Full Year OpEx"/>
    <s v="1. per project_x000a_ 2. per scenario"/>
    <s v="Derived"/>
    <s v="Medium"/>
    <s v="Project Finance Model, C_Output Sheet, Row 39 (Total Variable Cost) EO:EZ + Row 51 (Total Fixed Cost) EO:EZ = 262,359,000"/>
    <n v="1"/>
    <n v="-262358.7205"/>
    <n v="1"/>
    <s v="Extracted"/>
    <x v="4"/>
    <s v="Full"/>
    <s v="Project Finance Model"/>
    <s v="Project Finance Model"/>
    <s v="Correct"/>
    <s v="02. Financials &amp; Commercial"/>
    <s v="02. Financials &amp; Commercial"/>
    <s v="Correct"/>
    <s v="YES"/>
    <x v="45"/>
    <s v="Post-Processing / Computation Layer"/>
    <x v="3"/>
    <s v="Manual Assessment_x000a_Correct magnitude._x000a_Negative sign (accounting format)._x000a_Minor rounding._x000a__x000a_Issues_x000a_Sign normalization required._x000a__x000a_Accounting format negative cost"/>
    <x v="4"/>
    <s v="Low"/>
    <s v="Ground Truth (PEC)_x000a_262,359,000_x000a__x000a_Extracted_x000a_-262,358.7205 (USDk)_x000a__x000a_Numerically aligned"/>
  </r>
  <r>
    <s v="First Full Year CFADS"/>
    <s v="1. per project_x000a_ 2. per scenario"/>
    <s v="Derived"/>
    <s v="Medium"/>
    <s v="Project Finance Model, tab C_Fin, Sum of Cells Row 78 CU:DF,_x000a_ _x000a_ Ans: 3,621,862,000"/>
    <n v="1"/>
    <n v="580951.28319999995"/>
    <n v="1"/>
    <s v="Extracted"/>
    <x v="5"/>
    <s v="Full"/>
    <s v="Project Finance Model"/>
    <s v="Project Finance Model"/>
    <s v="Correct"/>
    <s v="02. Financials &amp; Commercial"/>
    <s v="02. Financials &amp; Commercial"/>
    <s v="Correct"/>
    <s v="YES"/>
    <x v="34"/>
    <s v="Retrieval + Interpretation"/>
    <x v="2"/>
    <s v="Manual Assessment_x000a_Severely wrong magnitude._x000a_Wrong tab selected (Output_Annual vs C_Fin sum)._x000a_Major financial metric failure._x000a__x000a_Issues_x000a_Wrong sheet selection._x000a_Missed required sum across cells._x000a__x000a_Model defaulted to visible CFADS row instead of required aggrega"/>
    <x v="6"/>
    <s v="CRITICAL"/>
    <s v="Ground Truth (PEC)_x000a_3,621,862,000_x000a__x000a_Extracted_x000a_580,951.2832 (USDk)_x000a__x000a_Debt service risk miscalculated"/>
  </r>
  <r>
    <s v="First Full Year Operating Margin"/>
    <s v="1. per project_x000a_ 2. per scenario"/>
    <s v="Derived"/>
    <s v="Medium"/>
    <s v="Project Finance Model, C_Output Sheet, Row 54 (EBIT) EO:EZ / Row 22 (Total Revenue) EO:EZ = 489,281,000/4,631,081,000 = 10.57%"/>
    <n v="1"/>
    <n v="8.7599999999999997E-2"/>
    <n v="1"/>
    <s v="Extracted"/>
    <x v="5"/>
    <s v="Full"/>
    <s v="Project Finance Model"/>
    <s v="Project Finance Model"/>
    <s v="Correct"/>
    <s v="02. Financials &amp; Commercial"/>
    <s v="02. Financials &amp; Commercial"/>
    <s v="Correct"/>
    <s v="YES"/>
    <x v="46"/>
    <s v="Computation Layer"/>
    <x v="3"/>
    <s v="Manual Assessment_x000a_Different EBIT and revenue rows used._x000a_Wrong denominator selection._x000a_Calculation inconsistency._x000a__x000a_Issues_x000a_Formula mismatch._x000a_Wrong source rows._x000a__x000a_Model used Output_Annual instead of C_Output rows specified"/>
    <x v="3"/>
    <s v="High"/>
    <s v="Ground Truth (PEC)_x000a_10.57%_x000a__x000a_Extracted_x000a_8.76%_x000a__x000a_Margin materially understated"/>
  </r>
  <r>
    <s v="Average Annual Revenue"/>
    <s v="per project"/>
    <s v="Derived"/>
    <s v="Medium"/>
    <s v="1952873.941 (in k, USD)"/>
    <n v="1"/>
    <n v="7077786.9000000004"/>
    <n v="1"/>
    <s v="Extracted"/>
    <x v="5"/>
    <s v="Full"/>
    <s v="Project Finance Model"/>
    <s v="Project Finance Model"/>
    <s v="Correct"/>
    <s v="02. Financials &amp; Commercial"/>
    <s v="02. Financials &amp; Commercial"/>
    <s v="Correct"/>
    <s v="YES"/>
    <x v="47"/>
    <s v="Computation Layer"/>
    <x v="3"/>
    <s v="Manual Assessment_x000a_Wrong time horizon used (2030–2045 average)._x000a_Expected defined revenue metric._x000a_Aggregation scope mismatch._x000a__x000a_Issues_x000a_Time window misinterpretation._x000a__x000a_Model averaged all years instead of defined period"/>
    <x v="3"/>
    <s v="High"/>
    <s v="Ground Truth (PEC)_x000a_1,952,873.941 (USDk)_x000a__x000a_Extracted_x000a_7,077,786.9 (USDk)_x000a__x000a_Valuation distortion risk"/>
  </r>
  <r>
    <s v="Asking Annual Interest Rate"/>
    <s v="per project"/>
    <s v="Primitive"/>
    <s v="Medium"/>
    <s v="From Project Finance Model - ScenarioInputs, F583 Coupon (under Subordinated Debt) = 11.5%"/>
    <n v="1"/>
    <n v="0.115"/>
    <n v="1"/>
    <s v="Extracted"/>
    <x v="4"/>
    <s v="Full"/>
    <s v="Project Finance Model"/>
    <s v="Project Finance Model"/>
    <s v="Correct"/>
    <s v="02. Financials &amp; Commercial"/>
    <s v="02. Financials &amp; Commercial"/>
    <s v="Correct"/>
    <s v="YES"/>
    <x v="48"/>
    <s v="Post-Processing / Computation Layer"/>
    <x v="3"/>
    <s v="Manual Assessment_x000a_Correct value in decimal format._x000a_Minor formatting difference._x000a__x000a_Issues_x000a_Percent vs decimal representation._x000a__x000a_Decimal representation"/>
    <x v="4"/>
    <s v="Low"/>
    <s v="Ground Truth (PEC)_x000a_11.5%_x000a__x000a_Extracted_x000a_0.115_x000a__x000a_Correct economically"/>
  </r>
  <r>
    <s v="Number of Feedstock Sellers Entities"/>
    <s v="per project"/>
    <s v="Derived"/>
    <s v="Medium"/>
    <n v="2"/>
    <n v="1"/>
    <n v="2"/>
    <n v="1"/>
    <s v="Extracted"/>
    <x v="4"/>
    <s v="Full"/>
    <s v="Feedstock Supply Agreements"/>
    <s v="Feedstock Supply Agreements"/>
    <s v="Correct"/>
    <s v="05. Feedstock"/>
    <s v="05. Feedstock"/>
    <s v="Correct"/>
    <s v="YES"/>
    <x v="5"/>
    <s v="None"/>
    <x v="1"/>
    <s v="None"/>
    <x v="2"/>
    <s v="None"/>
    <s v="Ground Truth (PEC)_x000a_2_x000a__x000a_Extracted_x000a_2"/>
  </r>
  <r>
    <s v="Number of Types of Feedstock Contracted"/>
    <s v="per project"/>
    <s v="Derived"/>
    <s v="Medium"/>
    <n v="2"/>
    <n v="1"/>
    <n v="2"/>
    <n v="1"/>
    <s v="Extracted"/>
    <x v="4"/>
    <s v="Full"/>
    <s v="Feedstock Supply Agreements"/>
    <s v="Feedstock Supply Agreements"/>
    <s v="Correct"/>
    <s v="05. Feedstock"/>
    <s v="05. Feedstock"/>
    <s v="Correct"/>
    <s v="YES"/>
    <x v="5"/>
    <s v="None"/>
    <x v="1"/>
    <s v="None"/>
    <x v="2"/>
    <s v="None"/>
    <s v="Ground Truth (PEC)_x000a_2_x000a__x000a_Extracted_x000a_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
  <r>
    <s v="Annual Throughput Entitlement for Feedstock"/>
    <s v="annual_throughput_entitlement_for_feedstock"/>
    <n v="10300000"/>
    <s v="HIGH"/>
    <x v="0"/>
    <s v="Copy of 47.3.5.1.2.1.1 PEC TSA dated 15 May 2.docx, Schedule A, Service Charges section, Throughput Entitlement"/>
    <s v="Terminal Service Agreement (TSA)"/>
    <x v="0"/>
    <s v="Storage &amp; Volume Risk"/>
    <x v="0"/>
    <s v="per project, per feedstock"/>
    <s v="Annual Throughput Entitlement for Feedstock, Petrochemicals and Refined Petroleum is 10,300,000 m³. The entitlement is stated jointly for 'Feedstock, Petrochemicals and Refined Petroleum' rather than for feedstock alone. A separate entitlement of 400,000 "/>
    <s v="condensate - 9,840,000_x000a_total for sour naphtha, paraxylene, benzene, jet kerosene, diesel, light naphtha, low sulfur fuel oil = 10,300,000_x000a_propane &amp; butane 554,268"/>
    <n v="10"/>
    <s v="2026-02-24T09:42:08.527309+00:00"/>
    <x v="0"/>
    <n v="0.5"/>
    <x v="0"/>
    <b v="1"/>
    <s v="The extracted value of 10,300,000 matches the total for sour naphtha, paraxylene, benzene, jet kerosene, diesel, light naphtha, and low sulfur fuel oil. However, the reference answer indicates that 'Feedstock' throughput entitlement includes multiple cate"/>
    <b v="1"/>
  </r>
  <r>
    <s v="Annual Throughput Entitlement Units"/>
    <s v="annual_throughput_entitlement_units"/>
    <s v="m3 (for Feedstock, Petrochemicals and Refined Petroleum); metric ton (for LPG)"/>
    <s v="HIGH"/>
    <x v="1"/>
    <s v="Copy of 47.3.5.1.2.1.1 PEC TSA dated 15 May 2.docx, Schedule A, Service Charges section - Throughput Entitlement"/>
    <s v="Terminal Service Agreement (TSA)"/>
    <x v="0"/>
    <s v="Storage &amp; Volume Risk"/>
    <x v="0"/>
    <s v="per project, per feedstock"/>
    <s v="The TSA specifies two different units depending on the product group: Annual Throughput Entitlement of 10,300,000 m³ for Feedstock, Petrochemicals and Refined Petroleum, and Annual Throughput Entitlement of 400,000 metric tons for Liquified Pressurized Ga"/>
    <s v="m^3 for condensate, and all other products"/>
    <n v="10"/>
    <s v="2026-02-24T09:40:40.557496+00:00"/>
    <x v="0"/>
    <n v="0.4"/>
    <x v="0"/>
    <b v="1"/>
    <s v="The reference specifies 'm^3 for condensate, and all other products' as a single unit (m³) applying broadly. The extracted value mentions m³ for some product categories (Feedstock, Petrochemicals, Refined Petroleum) but also introduces 'metric ton' for LP"/>
    <b v="1"/>
  </r>
  <r>
    <s v="Asking Annual Interest Rate"/>
    <s v="asking_annual_interest_rate"/>
    <n v="0.115"/>
    <s v="HIGH"/>
    <x v="2"/>
    <s v="ScenarioInputs!F583 [Coupon]"/>
    <s v="Project Finance Model"/>
    <x v="1"/>
    <s v="EPC &amp; LD Real Economic Risk"/>
    <x v="1"/>
    <m/>
    <s v="Fuzzy match on 'Coupon'. Value: 0.115 (11.50%)."/>
    <m/>
    <n v="0"/>
    <s v="2026-02-24T09:43:17.327772+00:00"/>
    <x v="1"/>
    <m/>
    <x v="0"/>
    <b v="1"/>
    <s v="No PEC Answer reference available"/>
    <b v="1"/>
  </r>
  <r>
    <s v="Average Annual Revenue"/>
    <s v="average_annual_revenue"/>
    <n v="7077786.9000000004"/>
    <s v="MEDIUM"/>
    <x v="2"/>
    <s v="Output_Annual!Total revenue (2030-2045)"/>
    <s v="Project Finance Model"/>
    <x v="1"/>
    <s v="EPC &amp; LD Real Economic Risk"/>
    <x v="1"/>
    <m/>
    <s v="Average of 16 years. Unit: USDk"/>
    <m/>
    <n v="0"/>
    <s v="2026-02-24T09:43:16.895732+00:00"/>
    <x v="1"/>
    <m/>
    <x v="0"/>
    <b v="1"/>
    <s v="No PEC Answer reference available"/>
    <b v="1"/>
  </r>
  <r>
    <s v="Commercial Operation Date"/>
    <s v="commercial_operation_date"/>
    <d v="2030-01-01T00:00:00"/>
    <s v="HIGH"/>
    <x v="3"/>
    <s v="Copy of 47.1.4 02_ProjectPEC_Financial Model_v0.617.xlsb, Section 2.1 General Timing (Construction) - 'Target operational completion date'; also confirmed in Dashboard Milestones as 'Start of operations'"/>
    <s v="Project Finance Model"/>
    <x v="1"/>
    <s v="Long Delay &amp; EPC Risk"/>
    <x v="1"/>
    <s v="per project"/>
    <s v="The base case target operational completion date / start of operations is January 1, 2030, derived from a 45-month development period starting April 2026. This is the base case value with 0 months production delay. Stress test scenarios model delays of 3-"/>
    <s v="From Project Finance Model - Dashboard, G21 = 1/1/2030"/>
    <n v="10"/>
    <s v="2026-02-24T09:41:31.501284+00:00"/>
    <x v="2"/>
    <n v="1"/>
    <x v="0"/>
    <b v="1"/>
    <s v="The extracted value of 2030-01-01 matches the reference answer of 1/1/2030 exactly. Both represent January 1, 2030, and the source is consistent with the reference (Dashboard)."/>
    <b v="1"/>
  </r>
  <r>
    <s v="EPCC Book Value of Equity"/>
    <s v="epcc_book_value_of_equity"/>
    <s v="{'2023': 301188938.16, '2022': 'NOT_FOUND'}"/>
    <s v="HIGH"/>
    <x v="2"/>
    <s v="China National Chemical Engineering International Corporation Ltd., Balance Sheet (Continued), Total owners' equity (or shareholders' equity), December 31, 2023, RMB"/>
    <s v="EPCC 3 years Audited financial statement"/>
    <x v="2"/>
    <s v="EPC Credit Risk"/>
    <x v="1"/>
    <s v="per year"/>
    <s v="The 2023 book value of equity is RMB 301,188,938.16, comprising paid-in capital of RMB 300,000,000.00 and retained earnings of RMB 1,188,938.16. The 2022 balance sheet (from Copy of 47.11.6.1 2022.pdf) is a blank template with no numerical values populate"/>
    <s v="CNCC _x000a__x000a_47.11.6.1 2022.pdf - Total Shareholders' Equity -  not available_x000a__x000a_47.11.6.2 2024.pdf - Total Shareholders' Equity - pg10, 64,072,162,061.48 CNY_x000a__x000a_47.11.6.3 2024.pdf - Total Shareholders' Equity -  pg10, 68,897,813,204.52 CNY"/>
    <n v="5"/>
    <s v="2026-02-24T09:42:21.479397+00:00"/>
    <x v="3"/>
    <n v="0.05"/>
    <x v="0"/>
    <b v="0"/>
    <s v="The extracted value of 301,188,938.16 does not match any of the reference values. The reference provides Total Shareholders' Equity values of 64,072,162,061.48 CNY and 68,897,813,204.52 CNY for CNCC. The extracted value appears to come from a subsidiary ("/>
    <b v="1"/>
  </r>
  <r>
    <s v="EPCC Current Assets"/>
    <s v="epcc_current_assets"/>
    <n v="1379976925.3499999"/>
    <s v="MEDIUM"/>
    <x v="2"/>
    <s v="China National Chemical Engineering International Corporation Ltd., Balance Sheet, Total current assets, December 31, 2023, RMB"/>
    <s v="EPCC 3 years Audited financial statement"/>
    <x v="2"/>
    <s v="EPC Credit Risk"/>
    <x v="1"/>
    <s v="per year"/>
    <s v="The datapoint requests 'EPCC Current Assets' which likely refers to 'China National Chemical Engineering International Corporation Ltd.' (the entity with 'International Corporation' in its name, matching an EPCC-type entity). The 2023 balance sheet shows "/>
    <s v="CNCC _x000a__x000a_47.11.6.1 2022.pdf - Current Asset -  not available_x000a__x000a_47.11.6.2 2024.pdf - Current Asset (2023) - pg9, 169,386,418,650.81 CNY_x000a_47.11.6.2 2023.pdf_x000a_- Current Asset (2023) - pg 6, 1,379,976,925.35_x000a_*values are different*_x000a__x000a_47.11.6.3 2024.pdf - Current Ass"/>
    <n v="5"/>
    <s v="2026-02-24T09:42:30.244574+00:00"/>
    <x v="0"/>
    <n v="0.5"/>
    <x v="0"/>
    <b v="1"/>
    <s v="The extracted value of 1,379,976,925.35 matches the value from document 47.11.6.2 2023.pdf (pg 6). However, the reference notes that values are different across documents, and the 2024.pdf reports a significantly different 2023 current asset figure of 169"/>
    <b v="1"/>
  </r>
  <r>
    <s v="EPCC Current Liabilities"/>
    <s v="epcc_current_liabilities"/>
    <s v="{'2023': 1080653591.04, '2024': 155584305557.49}"/>
    <s v="MEDIUM"/>
    <x v="2"/>
    <s v="China National Chemical Engineering International Corporation Ltd. (2023) and China National Chemical Engineering Co., Ltd. (2024), Balance Sheet, Total current liabilities, RMB"/>
    <s v="EPCC 3 years Audited financial statement"/>
    <x v="2"/>
    <s v="EPC Credit Risk"/>
    <x v="1"/>
    <s v="per year"/>
    <s v="There is ambiguity regarding which entity is the 'EPCC'. Two entities appear in the documents: (1) China National Chemical Engineering International Corporation Ltd. with 2023 Total current liabilities of RMB 1,080,653,591.04 (from Copy of 47.11.6.2 2023."/>
    <s v="CNCC _x000a__x000a_47.11.6.1 2022.pdf - Current Liabilities - not available _x000a__x000a_47.11.6.2 2024.pdf - Current Liabilities (2023) - pg10, 143,546,048,214.48_x000a_47.11.6.2 2023.pdf_x000a_- Current Liabilities (2023) - pg 7, 1,080,653,591.04_x000a_*values are different*_x000a__x000a_47.11.6.3 2024.pd"/>
    <n v="5"/>
    <s v="2026-02-24T09:42:19.585432+00:00"/>
    <x v="0"/>
    <n v="0.7"/>
    <x v="0"/>
    <b v="0"/>
    <s v="The extracted 2023 value of 1,080,653,591.04 matches one of the reference values for 2023 (from 47.11.6.2 2023.pdf, pg 7), though the reference notes a different 2023 value exists (143,546,048,214.48 from the 2024.pdf). The extracted 2024 value of 155,584"/>
    <b v="1"/>
  </r>
  <r>
    <s v="EPCC EBIT"/>
    <s v="epcc_ebit"/>
    <s v="NOT_FOUND"/>
    <s v="LOW"/>
    <x v="2"/>
    <s v="EPCC (China National Chemical Engineering International Corporation Ltd. / China National Chemical Engineering Co., Ltd.), Income Statement, various years"/>
    <s v="EPCC 3 years Audited financial statement"/>
    <x v="2"/>
    <s v="EPC Credit Risk"/>
    <x v="1"/>
    <s v="per year"/>
    <s v="The documents do not contain a clearly identifiable 'EBIT' (Earnings Before Interest &amp; Tax) line item for an entity specifically named 'EPCC'. The available data includes: (1) A 2022 income statement template with no figures populated; (2) China National "/>
    <m/>
    <n v="3"/>
    <s v="2026-02-24T09:42:30.804498+00:00"/>
    <x v="1"/>
    <m/>
    <x v="1"/>
    <b v="0"/>
    <s v="No PEC Answer reference available"/>
    <b v="1"/>
  </r>
  <r>
    <s v="EPCC Retained Earnings"/>
    <s v="epcc_retained_earnings"/>
    <s v="{'2023': 1188938.16, '2024': 37916600218.18, '2022': 'NOT_FOUND'}"/>
    <s v="MEDIUM"/>
    <x v="2"/>
    <s v="China National Chemical Engineering International Corporation Ltd. (EPCC), Balance Sheet, Retained Earnings, 2023 (RMB); China National Chemical Engineering Co., Ltd., Consolidated Statement of Financial Position, Retained Earnings, 2024 (CNY)"/>
    <s v="EPCC 3 years Audited financial statement"/>
    <x v="2"/>
    <s v="EPC Credit Risk"/>
    <x v="1"/>
    <s v="per year"/>
    <s v="There are two entities in the documents: (1) China National Chemical Engineering International Corporation Ltd. (likely the 'EPCC' entity) with retained earnings of RMB 1,188,938.16 as at December 31, 2023; (2) China National Chemical Engineering Co., Ltd"/>
    <s v="CNCC _x000a__x000a_47.11.6.1 2022.pdf - Current Retained Earnings -  not available._x000a__x000a_47.11.6.2 2023.pdf - Retained Earnings - pg7, 1,383,569,761.23 _x000a__x000a_47.11.6.3 2024.pdf - Retained Earnings -  pg 10, 62, "/>
    <n v="5"/>
    <s v="2026-02-24T09:41:59.857316+00:00"/>
    <x v="3"/>
    <n v="0.1"/>
    <x v="0"/>
    <b v="0"/>
    <s v="The extracted 2023 value of 1,188,938.16 does not match the reference 2023 retained earnings of 1,383,569,761.23. The extracted value appears to be from the wrong entity (China National Chemical Engineering International Corporation Ltd. rather than CNCC/"/>
    <b v="1"/>
  </r>
  <r>
    <s v="EPCC Total Assets"/>
    <s v="epcc_total_assets"/>
    <s v="{'2024': 233421377309.4, '2023': 1383569761.23, '2022': 'NOT_FOUND'}"/>
    <s v="MEDIUM"/>
    <x v="2"/>
    <s v="Multiple entities - China National Chemical Engineering Co., Ltd. (Consolidated, 2024) and China National Chemical Engineering International Corporation Ltd. (2023), Balance Sheet, Total assets, CNY/RMB"/>
    <s v="EPCC 3 years Audited financial statement"/>
    <x v="2"/>
    <s v="EPC Credit Risk"/>
    <x v="1"/>
    <s v="per year"/>
    <s v="There is ambiguity about which entity is the 'EPCC'. Two different entities appear in the documents: (1) China National Chemical Engineering Co., Ltd. (consolidated) with total assets of CNY 233,421,377,309.40 (2024) and CNY 219,115,319,747.00 (2023); (2)"/>
    <s v="CNCC _x000a__x000a_47.11.6.1 2022.pdf - Total Assets -  not available_x000a__x000a_47.11.6.2 2023.pdf - Total Assets - pg6, 1,383,569,761.23_x000a__x000a_47.11.6.3 2024.pdf - Total Assets -  pg 9, 233,421,377,309.40"/>
    <n v="5"/>
    <s v="2026-02-24T09:42:00.521437+00:00"/>
    <x v="2"/>
    <n v="0.95"/>
    <x v="0"/>
    <b v="0"/>
    <s v="The extracted values match the reference exactly: 2024 = 233,421,377,309.40, 2023 = 1,383,569,761.23, and 2022 is correctly identified as NOT_FOUND (reference says 'not available'). All three years are accurate. Minor deduction because the extraction sour"/>
    <b v="1"/>
  </r>
  <r>
    <s v="Expected Construction Period"/>
    <s v="expected_construction_period"/>
    <n v="45"/>
    <s v="HIGH"/>
    <x v="3"/>
    <s v="Copy of 47.1.4 02_ProjectPEC_Financial Model_v0.617.xlsb, Section: 2. General Scenario settings &gt; 2.1 General Timing &gt; 2.1.1 Construction"/>
    <s v="Project Finance Model"/>
    <x v="1"/>
    <s v="Long Delay &amp; EPC Risk"/>
    <x v="1"/>
    <s v="per project"/>
    <s v="The 'Target development period' and 'Actual development period' are both 45 months (Base Case). The EPC period within this is 39 months. Construction starts April 2026 with target operational completion January 2030. Unit is months."/>
    <s v="From Project Finance Model - Dashboard, G19 = 45 months"/>
    <n v="10"/>
    <s v="2026-02-24T09:39:46.350527+00:00"/>
    <x v="2"/>
    <n v="1"/>
    <x v="0"/>
    <b v="0"/>
    <s v="The extracted value of 45 matches the reference answer of 45 months. Both represent the same expected construction period duration."/>
    <b v="1"/>
  </r>
  <r>
    <s v="Expected Construction Start Date"/>
    <s v="expected_construction_start_date"/>
    <d v="2026-04-01T00:00:00"/>
    <s v="HIGH"/>
    <x v="3"/>
    <s v="Copy of 47.1.4 02_ProjectPEC_Financial Model_v0.617.xlsb, Section 2.1 General Timing &gt; 2.1.1 Construction, and Dashboard &gt; Milestones"/>
    <s v="Project Finance Model"/>
    <x v="1"/>
    <s v="Long Delay &amp; EPC Risk"/>
    <x v="1"/>
    <s v="per project"/>
    <s v="The 'Start of development' date is consistently reported as 2026-04-01 across multiple sections of the model: the General Timing construction parameters, the Dashboard milestones, and corroborated by the Flags section showing the development period activa"/>
    <s v="From Project Finance Model - Dashboard, G18 = 4/1/2026"/>
    <n v="10"/>
    <s v="2026-02-24T09:41:00.944654+00:00"/>
    <x v="2"/>
    <n v="1"/>
    <x v="0"/>
    <b v="1"/>
    <s v="The extracted value 2026-04-01 matches the reference date of 4/1/2026 exactly."/>
    <b v="1"/>
  </r>
  <r>
    <s v="Feedstock Baseline Price"/>
    <s v="feedstock_baseline_price"/>
    <s v="NOT_FOUND"/>
    <s v="HIGH"/>
    <x v="2"/>
    <s v="Copy of 47.2.1.1.1 Commercial Term Sheet Shell - Feedstock.docx and Copy of 47.11.3.1 Shell_Binding Term Sheet - Feedstock supply.pdf, Section: Price of the Cargo; Copy of 47.2.2.2.1 Equinor - Feedstock Sale and Product Purchase Agreement, Section 11: Fee"/>
    <s v="Feedstock Supply Agreements"/>
    <x v="3"/>
    <s v="Seasonal Availability Shortfall"/>
    <x v="0"/>
    <s v="per supplier per contract"/>
    <s v="No fixed baseline price per unit is specified in any of the feedstock supply agreements. The Shell contracts use a formula-based pricing mechanism (Price Formula = A + B + C) where 'A' is a floating benchmark (Platts Dated Brent, Platts Dubai, WTI, or MOP"/>
    <s v="Shell - No answer, equinor, no answer_x000a__x000a_equinor - no answer."/>
    <n v="10"/>
    <s v="2026-02-24T09:42:32.465836+00:00"/>
    <x v="4"/>
    <n v="1"/>
    <x v="1"/>
    <b v="0"/>
    <s v="Both extraction and reference indicate no data available"/>
    <b v="1"/>
  </r>
  <r>
    <s v="Feedstock Buyer Entity"/>
    <s v="feedstock_buyer_entity"/>
    <s v="Pengerang Product Supply and Trading Organisation Pte. Ltd. (PSTO); Pengerang Energy Complex Sdn Bhd (PEC); Pengerang Energy Complex Sdn Bhd (PEC)"/>
    <s v="HIGH"/>
    <x v="1"/>
    <s v="Copy of 47.11.3.1 Shell_Binding Term Sheet - Feedstock supply.pdf, Section: Parties; Copy of 47.2.1.1.1 Commercial Term Sheet Shell - Feedstock.docx, Section: Parties; Copy of 47.2.2.2.1 Equinor - Feedstock Sale and Product Purchase Agreemen.pdf, Table of"/>
    <s v="Feedstock Supply Agreements"/>
    <x v="3"/>
    <s v="Supplier Capacity"/>
    <x v="0"/>
    <s v="per feedstock contract"/>
    <s v="Per feedstock contract: (1) Shell Binding Term Sheet (47.11.3.1) - Buyer is Pengerang Product Supply and Trading Organisation Pte. Ltd. (PSTO); (2) Shell Commercial Term Sheet (47.2.1.1.1) - Buyer is Pengerang Energy Complex Sdn Bhd (PEC); (3) Equinor Fee"/>
    <s v="Pengerang Energy Complex Sdn Bhd, pg 1, _x000a__x000a_File - 47.2.1.1.1 Commercial Term Sheet Shell - Feedstock.docx"/>
    <n v="10"/>
    <s v="2026-02-24T09:41:33.122799+00:00"/>
    <x v="0"/>
    <n v="0.6"/>
    <x v="0"/>
    <b v="1"/>
    <s v="The extracted value includes the correct entity 'Pengerang Energy Complex Sdn Bhd (PEC)' from the referenced file (47.2.1.1.1 Commercial Term Sheet Shell - Feedstock.docx), matching the ground truth. However, the extraction also includes additional entiti"/>
    <b v="1"/>
  </r>
  <r>
    <s v="Feedstock Buyer's Option Percentage"/>
    <s v="feedstock_buyer's_option_percentage"/>
    <s v="±10%"/>
    <s v="HIGH"/>
    <x v="1"/>
    <s v="Copy of 47.2.1.1.1 Commercial Term Sheet Shell - Feedstock.docx, Section 1: Feedstock supply, Contract Quantity; Copy of 47.11.3.1 Shell_Binding Term Sheet - Feedstock supply.pdf, Section 1: Feedstock supply, Contract Quantity"/>
    <s v="Feedstock Supply Agreements"/>
    <x v="3"/>
    <s v="Price Fixed v Variable Share"/>
    <x v="0"/>
    <s v="per feedstock contract_x000a_per feedstock"/>
    <s v="Both Shell feedstock contracts (Condensate and Full Range Naphtha) specify ±10% at Buyer's option around the baseline ACQ. In one document version this is described as 'at Buyer's option' and in the other as 'at Buyer's operational tolerance'. The Equinor"/>
    <s v="File - 47.2.1.1.1 Commercial Term Sheet Shell - Feedstock.docx, pg 2_x000a__x000a_Answer: condensate +/- 10% _x000a__x000a_naphtha +/- 10% _x000a__x000a_equinor: "/>
    <n v="10"/>
    <s v="2026-02-24T09:41:46.628467+00:00"/>
    <x v="0"/>
    <n v="0.6"/>
    <x v="0"/>
    <b v="1"/>
    <s v="The extracted value of ±10% captures the correct percentage figure, which matches both the condensate (+/- 10%) and naphtha (+/- 10%) buyer's option percentages. However, the reference answer includes additional detail specifying that this applies separat"/>
    <b v="1"/>
  </r>
  <r>
    <s v="Feedstock Cargo Volume Seller's Option Percentage"/>
    <s v="feedstock_cargo_volume_seller's_option_percentage"/>
    <s v="Condensate FIP: ±5%; Condensate DAP: ±5%; Full Range Naphtha FIP: ±10%; Full Range Naphtha DAP: ±10%"/>
    <s v="HIGH"/>
    <x v="1"/>
    <s v="Copy of 47.11.3.1 Shell_Binding Term Sheet - Feedstock supply.pdf, Section 1: Feedstock supply, Cargo Volume; Copy of 47.2.1.1.1 Commercial Term Sheet Shell - Feedstock.docx, Section 1: Feedstock supply, Cargo Volume"/>
    <s v="Feedstock Supply Agreements"/>
    <x v="3"/>
    <s v="Transportation Cost"/>
    <x v="0"/>
    <s v="per feedstock contract, per feedstock, per delivery channel"/>
    <s v="Both source documents consistently specify the same Seller's Option percentages: ±5% for Condensate and ±10% for Full Range Naphtha, applicable across both FIP and DAP delivery channels. These percentages allow the Seller to unilaterally adjust the nomina"/>
    <s v="File - 47.2.1.1.1 Commercial Term Sheet Shell - Feedstock.docx, pg 4_x000a__x000a_Answer: Condensate, +/- 5% _x000a__x000a_naphtha +/- 10% _x000a__x000a_equinor"/>
    <n v="10"/>
    <s v="2026-02-24T09:41:39.085406+00:00"/>
    <x v="0"/>
    <n v="0.65"/>
    <x v="0"/>
    <b v="1"/>
    <s v="The extracted value correctly captures the key percentages: Condensate ±5% and Naphtha ±10%, matching the reference. However, the extracted value includes additional detail by breaking down into FIP and DAP variants for each feedstock type, and it does no"/>
    <b v="1"/>
  </r>
  <r>
    <s v="Feedstock Contract Expected Initial Delivery Date"/>
    <s v="feedstock_contract_expected_initial_delivery_date"/>
    <s v="NOT_FOUND"/>
    <s v="HIGH"/>
    <x v="3"/>
    <s v="All provided chunks from Shell and Equinor Feedstock Supply Agreements"/>
    <s v="Feedstock Supply Agreements"/>
    <x v="3"/>
    <s v="Take-or-pay Coverage Ratio"/>
    <x v="0"/>
    <s v="per contract"/>
    <s v="No specific initial delivery date is stated in any of the provided contract chunks. The Shell contracts define the Start Date as the '1st Day of the Delivery Month in which the first cargo is delivered by the Seller and such date being after PEC Start Dat"/>
    <s v="Shell - no answer."/>
    <n v="10"/>
    <s v="2026-02-24T09:42:24.928818+00:00"/>
    <x v="4"/>
    <n v="1"/>
    <x v="1"/>
    <b v="0"/>
    <s v="Both extraction and reference indicate no data available"/>
    <b v="1"/>
  </r>
  <r>
    <s v="Feedstock Contract Pricing Formula"/>
    <s v="feedstock_contract_pricing_formula"/>
    <s v="Price Formula = A + B + C, where A = Pricing benchmark (Condensate: Platts Dated Brent month average or Platts Dubai average or WTI of the Feedstock Delivery Month; Full Range Naphtha: Platts Monthly Average of MOPJ Naphtha of the Feedstock Delivery Month"/>
    <s v="HIGH"/>
    <x v="3"/>
    <s v="Shell contracts: Copy of 47.11.3.1 Shell_Binding Term Sheet - Feedstock supply.pdf, Section 'Price of the Cargo'; Copy of 47.2.1.1.1 Commercial Term Sheet Shell - Feedstock.docx, Section 'Price of the Cargo'; Equinor contract: Copy of 47.2.2.2.1 Equinor -"/>
    <s v="Feedstock Supply Agreements"/>
    <x v="3"/>
    <s v="Shortfall"/>
    <x v="0"/>
    <s v="per feedstock contract _x000a_per feedstock"/>
    <s v="Two Shell feedstock term sheets provide the same Price Formula = A + B + C structure with identical components. The Equinor Feedstock Sale and Product Purchase Agreement references feedstock pricing in Sections 11.1-11.9 but only the table of contents is "/>
    <s v="File - 47.2.1.1.1 Commercial Term Sheet Shell - Feedstock.docx, pg 8_x000a__x000a_'Price Formula = A + B + C', where A = benchmark, B = Premium/discount_x000a_C = &quot;others'_x000a_"/>
    <n v="10"/>
    <s v="2026-02-24T09:41:55.309202+00:00"/>
    <x v="2"/>
    <n v="0.95"/>
    <x v="0"/>
    <b v="0"/>
    <s v="The extracted value correctly identifies the feedstock contract pricing formula as 'Price Formula = A + B + C' where A = benchmark, B = Premium/discount, and C = Others, matching the reference answer. The extracted value goes beyond the reference by provi"/>
    <b v="1"/>
  </r>
  <r>
    <s v="Feedstock Contract Pricing Formula Components"/>
    <s v="feedstock_contract_pricing_formula_components"/>
    <s v="Price Formula = A + B + C. Component A (Pricing benchmark): Condensate - Platts Dated Brent month average or Platts Dubai average or WTI of the Feedstock Delivery Month; Full Range Naphtha - Platts Monthly Average of MOPJ Naphtha of the Feedstock Delivery"/>
    <s v="HIGH"/>
    <x v="1"/>
    <s v="Copy of 47.11.3.1 Shell_Binding Term Sheet - Feedstock supply.pdf, Section: Price of the Cargo; Copy of 47.2.1.1.1 Commercial Term Sheet Shell - Feedstock.docx, Section: Price of the Cargo. Equinor agreement (Copy of 47.2.2.2.1) references Clauses 11.1-11"/>
    <s v="Feedstock Supply Agreements"/>
    <x v="3"/>
    <s v="Shortfall"/>
    <x v="0"/>
    <s v="per feedstock contract_x000a_per feedstock"/>
    <s v="Two Shell term sheets provide substantially identical pricing formulas. The Shell binding term sheet (47.11.3.1) notes that under DAP, Market Structure Adjustment is 'to be discussed between the Parties', while the Commercial Term Sheet (47.2.1.1.1) state"/>
    <s v="File - 47.2.1.1.1 Commercial Term Sheet Shell - Feedstock.docx, pg 8_x000a__x000a_'Price Formula = A + B + C', where A = benchmark, B = Premium/discount_x000a_C = &quot;others', and for this answer we want the details of A,B,C, which are (see pg 8 of contract for long details)_x000a_"/>
    <n v="10"/>
    <s v="2026-02-24T09:41:02.749557+00:00"/>
    <x v="0"/>
    <n v="0.55000000000000004"/>
    <x v="0"/>
    <b v="1"/>
    <s v="The extracted value thoroughly covers the Shell feedstock pricing formula (A + B + C) with detailed component breakdowns, matching the reference well for Shell. However, for Equinor, the reference provides a specific formula P = (PM+AD)L with defined comp"/>
    <b v="1"/>
  </r>
  <r>
    <s v="Feedstock Contract Term"/>
    <s v="feedstock_contract_term"/>
    <s v="Shell: 12; Equinor: 10"/>
    <s v="HIGH"/>
    <x v="0"/>
    <s v="Shell: Copy of 47.11.3.1 Shell_Binding Term Sheet - Feedstock supply.pdf and Copy of 47.2.1.1.1 Commercial Term Sheet Shell - Feedstock.docx, Section 1: Contract Period; Equinor: Copy (2) of 47.2.2.2.1 Equinor - Feedstock Sale and Product Purchase Agreeme"/>
    <s v="Feedstock Supply Agreements"/>
    <x v="3"/>
    <s v="Volume Contracted"/>
    <x v="0"/>
    <s v="per feedstock contract"/>
    <s v="Shell (SIETCO) feedstock supply term is 12 years from the Start Date (or until Full Repayment Date, whichever is later), with an optional 5-year extension by mutual agreement. Equinor feedstock supply term is 10 years from the Commercial Operations Date ("/>
    <s v="47.2.1.1.1 Commercial Term Sheet Shell - Feedstock.docx, pg1_x000a__x000a_1. Shell - Condensate - 12 years_x000a_2. Shell - Naphtha - 12 Years_x000a__x000a_47.2.2.1.1 Equinor - Feedstock Sale and Product Purchase Agreement (EXECUTE.pdf, pg 25, _x000a__x000a_10 years. for condensate and full range"/>
    <n v="10"/>
    <s v="2026-02-24T09:41:41.946534+00:00"/>
    <x v="2"/>
    <n v="1"/>
    <x v="0"/>
    <b v="0"/>
    <s v="The extracted values correctly identify Shell's feedstock contract term as 12 years and Equinor's as 10 years, matching the reference answer which states Shell condensate and naphtha are 12 years each, and Equinor condensate and full range naphtha are 10 "/>
    <b v="1"/>
  </r>
  <r>
    <s v="Feedstock Contract Term End Year"/>
    <s v="feedstock_contract_term_end_year"/>
    <s v="Equinor: 10th anniversary of the COD (Commercial Operations Date); Shell/SIETCO (PEC): 12 years from the Start Date or the Full Repayment Date, whichever is later; Shell/SIETCO (PSTO/PEC): 12 years from the Start Date or the Full Repayment Date, whichever"/>
    <s v="HIGH"/>
    <x v="3"/>
    <s v="Equinor - Feedstock Sale and Product Purchase Agreement, Section 2.1 Term; Commercial Term Sheet Shell - Feedstock, Section 1: Contract Period; Shell Binding Term Sheet - Feedstock supply, Section 1: Contract Period"/>
    <s v="Feedstock Supply Agreements"/>
    <x v="3"/>
    <s v="Volume Contracted"/>
    <x v="0"/>
    <s v="per supplier per contract"/>
    <s v="No fixed calendar end dates are specified. Equinor contract expires on the 10th anniversary of the COD (Commercial Operations Date), which is not a fixed date in these documents. Shell/SIETCO contracts expire 12 years from the Start Date (date first cargo"/>
    <s v="Shell - no answer"/>
    <n v="10"/>
    <s v="2026-02-24T09:41:35.190082+00:00"/>
    <x v="3"/>
    <n v="0.1"/>
    <x v="0"/>
    <b v="0"/>
    <s v="The reference answer indicates 'no answer' for the Feedstock Contract Term End Year for Shell, meaning a specific end year/date could not be determined. The extracted value provides contract term descriptions (e.g., '12 years from the Start Date or the Fu"/>
    <b v="1"/>
  </r>
  <r>
    <s v="Feedstock Contract Term Extension"/>
    <s v="feedstock_contract_term_extension"/>
    <n v="5"/>
    <s v="HIGH"/>
    <x v="0"/>
    <s v="Copy of 47.2.1.1.1 Commercial Term Sheet Shell - Feedstock.docx, Section 1: Feedstock supply, Contract Period; Copy of 47.11.3.1 Shell_Binding Term Sheet - Feedstock supply.pdf, Section 1: Feedstock supply, Contract Period"/>
    <s v="Feedstock Supply Agreements"/>
    <x v="3"/>
    <s v="Supplier Capacity"/>
    <x v="0"/>
    <s v="per feedstock contract"/>
    <s v="For the Shell/SIETCO feedstock contracts (both the PEC-SIETCO and PSTO/PEC-SIETCO term sheets), the option to extend the Term is by an additional 5 years, if mutually agreed. For the Equinor feedstock contract, the extension period is referenced under Cla"/>
    <s v="&quot;47.2.1.1.1 Commercial Term Sheet Shell - Feedstock.docx, pg1_x000a__x000a_5 years_x000a__x000a_47.2.2.1.1 Equinor - Feedstock Sale and Product Purchase Agreement (EXECUTE.pdf, pg 27, _x000a__x000a_term extension: 2 years"/>
    <n v="10"/>
    <s v="2026-02-24T09:41:23.068721+00:00"/>
    <x v="0"/>
    <n v="0.5"/>
    <x v="0"/>
    <b v="1"/>
    <s v="The extracted value of 5 matches the Shell feedstock contract term extension of 5 years, but the reference also contains a second document (Equinor) with a term extension of 2 years. The extraction only captured one of the two relevant values. Additionall"/>
    <b v="1"/>
  </r>
  <r>
    <s v="Feedstock Contract Term Start Year"/>
    <s v="feedstock_contract_term_start_year"/>
    <s v="Shell (SIETCO) - PEC/PSTO: Start Date is the 1st Day of the Delivery Month in which the first cargo is delivered after PEC Start Date (no fixed calendar year specified); Equinor - PEC: Effective Date is 2023-03-02 (execution date), with term running from "/>
    <s v="MEDIUM"/>
    <x v="3"/>
    <s v="Shell Binding Term Sheet (47.11.3.1 and 47.2.1.1.1) - Section 1: Contract Period; Equinor Feedstock Sale and Product Purchase Agreement (47.2.2.2.1) - Section 2.1 Term and introductory recitals"/>
    <s v="Feedstock Supply Agreements"/>
    <x v="3"/>
    <s v="Volume Contracted"/>
    <x v="0"/>
    <s v="per feedstock contract"/>
    <s v="Neither agreement specifies a fixed calendar year for the contract term start. The Shell agreements define the Start Date as the 1st day of the delivery month when the first cargo is delivered after the PEC Start Date (when the Pengerang complex becomes o"/>
    <s v="Shell - no answer"/>
    <n v="10"/>
    <s v="2026-02-24T09:41:18.461979+00:00"/>
    <x v="0"/>
    <n v="0.3"/>
    <x v="0"/>
    <b v="1"/>
    <s v="The reference indicates 'no answer' for Shell's feedstock contract term start year. The extracted value correctly identifies that no fixed calendar year is specified for Shell, which aligns with 'no answer.' However, the extraction is overly verbose and a"/>
    <b v="1"/>
  </r>
  <r>
    <s v="Feedstock Contracted Supply Quantity"/>
    <s v="feedstock_contracted_supply_quantity"/>
    <s v="Shell/SIETCO - Condensate: 30,000,000 barrels annually (ACQ, ±10%); Shell/SIETCO - Full Range Naphtha: 170,000 MT annually (ACQ, ±10%); Shell/SIETCO - Quarterly (QCQ): Min 95% of 25% of ACQ, Max 105% of 25% of ACQ; Equinor - Condensate: 150,000 barrels/da"/>
    <s v="HIGH"/>
    <x v="2"/>
    <s v="Shell quantities from 'Copy of 47.2.1.1.1 Commercial Term Sheet Shell - Feedstock.docx' and 'Copy of 47.11.3.1 Shell_Binding Term Sheet - Feedstock supply.pdf', Section 1: Contract Quantity. Equinor facility capacity from 'Copy of 47.2.2.2.1 Equinor - Fee"/>
    <s v="Feedstock Supply Agreements"/>
    <x v="3"/>
    <s v="Volume Contracted"/>
    <x v="0"/>
    <s v="1. annually, quarterly, monthly_x000a_2. per feedstock supplier_x000a_3. per feedstock type_x000a_4. per time period"/>
    <s v="Shell/SIETCO: Condensate ACQ is minimum 30 million barrels per Contract Year with ±10% tolerance at Buyer's option/operational tolerance. Full Range Naphtha ACQ is minimum 170 KT per Contract Year with ±10% tolerance. QCQ constrains quarterly deliveries t"/>
    <s v="47.2.1.1.1 Commercial Term Sheet Shell - Feedstock.docx, pg2_x000a__x000a_1. Shell - Annual Contracted Quantity - Condensate - minimum of 30 million barrels_x000a_2. Shell - Annual Contracted Quantity - Naphtha - minimum of 170 KT_x000a_3. Shell - Quarterly - Quarterly Contract "/>
    <n v="10"/>
    <s v="2026-02-24T09:41:34.491357+00:00"/>
    <x v="0"/>
    <n v="0.7"/>
    <x v="0"/>
    <b v="0"/>
    <s v="The extracted value correctly captures Shell condensate (30 million barrels annually), Shell naphtha (170,000 MT annually), Shell QCQ min/max percentages, and Equinor naphtha (935 MT/day). However, the Equinor condensate quantity is wrong: the extraction "/>
    <b v="1"/>
  </r>
  <r>
    <s v="Feedstock Contracted Supply Quantity Units"/>
    <s v="feedstock_contracted_supply_quantity_units"/>
    <s v="Shell - Condensate: barrels; Shell - Full Range Naphtha: KT (kilotonnes); Equinor - Condensate: Barrels per day; Equinor - FRN: MT per day"/>
    <s v="HIGH"/>
    <x v="1"/>
    <s v="Copy of 47.2.1.1.1 Commercial Term Sheet Shell - Feedstock.docx, Section: Contract Quantity; Copy of 47.11.3.1 Shell_Binding Term Sheet - Feedstock supply.pdf, Section: Contract Quantity; Copy of 47.2.2.2.1 Equinor - Feedstock Sale and Product Purchase Ag"/>
    <s v="Feedstock Supply Agreements"/>
    <x v="3"/>
    <s v="Volume Contracted"/>
    <x v="0"/>
    <s v="1. per feedstock supplier_x000a_2. per feedstock type"/>
    <s v="Shell agreements specify Condensate ACQ in 'million barrels' (annually) and Full Range Naphtha ACQ in 'KT' (kilotonnes, annually). The Equinor agreement references Initial Facility Capacity of 150,000 Barrels per day for condensate and 935 MT per day for "/>
    <s v="1. Shell - 47.2.1.1.1 Commercial Term Sheet Shell - Feedstock.docx - pg2 _x000a__x000a_condensate units: barrels_x000a__x000a_naphtha - KT_x000a__x000a_2. Equinor - 47.2.2.1.1 Equinor - Feedstock Sale and Product Purchase Agreement (EXECUTE.pdf- pg 30 -_x000a__x000a_Condensate - barrel_x000a_Naphtha - MT _x000a__x000a_-"/>
    <n v="10"/>
    <s v="2026-02-24T09:41:11.602258+00:00"/>
    <x v="0"/>
    <n v="0.75"/>
    <x v="0"/>
    <b v="1"/>
    <s v="The extracted value correctly identifies Shell condensate units as 'barrels' and Shell naphtha as 'KT', matching the reference. For Equinor, the units are correctly identified as barrels for condensate and MT for naphtha, but the extraction adds qualifier"/>
    <b v="1"/>
  </r>
  <r>
    <s v="Feedstock Delivery Channel"/>
    <s v="feedstock_delivery_channel"/>
    <s v="Free into Pipeline (FIP): Delivery as feedstock passes the battery limit of the Feedstock Storage Facilities (primary delivery channel); Delivery at Place by vessel (DAP): Delivery as feedstock passes the vessel's permanent hose connection at the discharg"/>
    <s v="HIGH"/>
    <x v="1"/>
    <s v="Copy of 47.2.1.1.1 Commercial Term Sheet Shell - Feedstock.docx and Copy of 47.11.3.1 Shell_Binding Term Sheet - Feedstock supply.pdf, Section 1: Feedstock supply, Delivery Terms"/>
    <s v="Feedstock Supply Agreements"/>
    <x v="3"/>
    <s v="Transportation Capacity"/>
    <x v="0"/>
    <s v="1. per feedstock type_x000a_2. per feedstock contract"/>
    <s v="The delivery channels apply to all feedstock types (condensate, light crude, and naphtha) under both Shell feedstock contracts. FIP is the primary channel, with DAP as fallback. Both contracts (PEC-SIETCO and PSTO/PEC-SIETCO) specify the same two delivery"/>
    <s v="Shell - 47.2.1.1.1 Commercial Term Sheet Shell - Feedstock.docx - pg2 _x000a__x000a_Ans: FIP (Free into pipeline) OR DAP (delivery at place) by vessel_x000a__x000a_Equinor - not found in contract"/>
    <n v="10"/>
    <s v="2026-02-24T09:40:47.666693+00:00"/>
    <x v="2"/>
    <n v="0.95"/>
    <x v="0"/>
    <b v="1"/>
    <s v="The extracted value correctly identifies both delivery channels: FIP (Free into Pipeline) and DAP (Delivery at Place) by vessel, matching the reference answer. The extracted value provides additional detail about the definitions and conditions of each cha"/>
    <b v="1"/>
  </r>
  <r>
    <s v="Feedstock Delivery Frequency"/>
    <s v="feedstock_delivery_frequency"/>
    <s v="Monthly (per Feedstock Delivery Month), with nominations process starting at M-4 and deliveries scheduled within each Feedstock Delivery Month via Transfer Schedules specifying laydays (5-day ranges for DAP, 2-day windows for FIP)"/>
    <s v="HIGH"/>
    <x v="1"/>
    <s v="Copy of 47.2.1.1.1 Commercial Term Sheet Shell - Feedstock.docx and Copy of 47.11.3.1 Shell_Binding Term Sheet - Feedstock supply.pdf, Section 1: Feedstock supply, Nominations process; Copy of 47.2.2.2.1 Equinor - Feedstock Sale and Product Purchase Agree"/>
    <s v="Feedstock Supply Agreements"/>
    <x v="3"/>
    <s v="Transportation Capacity"/>
    <x v="0"/>
    <s v="1. per feedstock type_x000a_2. per feedstock contract"/>
    <s v="Both Shell and Equinor contracts structure deliveries on a monthly basis. The Shell term sheets reference 'Feedstock Delivery Month' as the core delivery period, with multiple cargo deliveries within each month scheduled via Transfer Schedules. For conden"/>
    <s v="Shell - 47.2.1.1.1 Commercial Term Sheet Shell - Feedstock.docx - pg5_x000a__x000a__x000a_Answer: month"/>
    <n v="10"/>
    <s v="2026-02-24T09:41:08.466020+00:00"/>
    <x v="2"/>
    <n v="0.9"/>
    <x v="0"/>
    <b v="1"/>
    <s v="The extracted value identifies the feedstock delivery frequency as 'Monthly (per Feedstock Delivery Month)', which matches the reference answer of 'month'. The extracted value provides additional detail about the nominations process and scheduling specifi"/>
    <b v="1"/>
  </r>
  <r>
    <s v="Feedstock Quality Specification"/>
    <s v="feedstock_quality_specification"/>
    <s v="Condensate: normal export quality as per produced (basket of pre-agreed grades); Full Range Naphtha: N+2A Min 35.0%, 50% Distillation Min 85°C"/>
    <s v="HIGH"/>
    <x v="4"/>
    <s v="Copy of 47.11.3.1 Shell_Binding Term Sheet - Feedstock supply.pdf, Section 1: Feedstock supply, Grade &amp; Quality"/>
    <s v="Feedstock Supply Agreements"/>
    <x v="3"/>
    <s v="Volume Contracted"/>
    <x v="0"/>
    <s v="Per feedstock type"/>
    <s v="For Condensate, no specific numeric quality parameters (e.g., density, moisture) are provided — the specification is simply 'normal export quality as per produced' with quality determined at port of loading via SIETCO certificates (final and binding). For"/>
    <s v="Engineering Documents - 47.2.2.2.1 Equinor - Feedstock Sale and Product Purchase Agreemen.pdf_x000a__x000a_pg 47, feeds table from 3.0 determines the quality required"/>
    <n v="10"/>
    <s v="2026-02-24T09:40:34.901611+00:00"/>
    <x v="0"/>
    <n v="0.3"/>
    <x v="0"/>
    <b v="1"/>
    <s v="The extracted value provides specific feedstock quality specifications (Condensate and Full Range Naphtha details) from a Shell binding term sheet, while the reference points to a different document (Equinor Feedstock Sale and Product Purchase Agreement, "/>
    <b v="1"/>
  </r>
  <r>
    <s v="Feedstock Seller's Entity"/>
    <s v="feedstock_seller's_entity"/>
    <s v="Shell International Eastern Trading Company (SIETCO); Equinor ASA"/>
    <s v="HIGH"/>
    <x v="4"/>
    <s v="Copy of 47.2.1.1.1 Commercial Term Sheet Shell - Feedstock.docx (Parties section); Copy of 47.11.3.1 Shell_Binding Term Sheet - Feedstock supply.pdf (Parties section); Copy of 47.2.2.2.1 Equinor - Feedstock Sale and Product Purchase Agreemen.pdf (Preamble"/>
    <s v="Feedstock Supply Agreements"/>
    <x v="3"/>
    <s v="Supplier Concentration"/>
    <x v="0"/>
    <s v="1. Per feedstock contract"/>
    <s v="Two feedstock suppliers identified across the feedstock supply agreements: (1) Shell International Eastern Trading Company (SIETCO), the Seller under the Shell Binding Term Sheets, and (2) Equinor ASA, the feedstock supplier under the Equinor Feedstock Sa"/>
    <s v="To be inferred from documents._x000a_1. Shell International Eastern Trading Company, pg 1 of 1. Shell - 47.2.1.1.1 Commercial Term Sheet Shell - Feedstock.docx_x000a__x000a__x000a_2. Equinor, ASA - pg 1 of 47.2.2.1.1 Equinor - Feedstock Sale and Product Purchase Agreement (EXECU"/>
    <n v="10"/>
    <s v="2026-02-24T09:40:31.205497+00:00"/>
    <x v="2"/>
    <n v="1"/>
    <x v="0"/>
    <b v="1"/>
    <s v="The extracted value correctly identifies both feedstock sellers: Shell International Eastern Trading Company (SIETCO) and Equinor ASA, matching the reference answer's two entities. The sources also align with the reference documents."/>
    <b v="1"/>
  </r>
  <r>
    <s v="Feedstock Storage Capacity"/>
    <s v="feedstock_storage_capacity"/>
    <s v="Naphtha: 45,714 cbm"/>
    <s v="MEDIUM"/>
    <x v="2"/>
    <s v="Copy of 47.3.5.1.2.1.1 PEC TSA dated 15 May 2.docx, Schedule A - Capacity and Infrastructure"/>
    <s v="Storage &amp; Handling Agreement / Plan"/>
    <x v="0"/>
    <s v="Storage &amp; Volume Risk"/>
    <x v="0"/>
    <s v="per type of feedstock"/>
    <s v="The TSA Schedule A lists storage capacity per product type. For feedstock specifically, only Naphtha is listed with 1 tank of 45,714 cbm. Condensate feedstock storage capacity is not specified in this document - the Shell Binding Term Sheet references ded"/>
    <s v="Condensate - 820,000 M^3_x000a_naphtha - 45,714 m^3"/>
    <n v="10"/>
    <s v="2026-02-24T09:40:18.799751+00:00"/>
    <x v="0"/>
    <n v="0.5"/>
    <x v="0"/>
    <b v="0"/>
    <s v="The extracted value correctly identifies the naphtha feedstock storage capacity as 45,714 cbm, which matches the reference value. However, it is missing the condensate storage capacity of 820,000 M^3, which is also part of the feedstock storage capacity. "/>
    <b v="1"/>
  </r>
  <r>
    <s v="Feedstock Take-or-pay Minimum Quantity"/>
    <s v="feedstock_take-or-pay_minimum_quantity"/>
    <s v="NOT_FOUND"/>
    <s v="HIGH"/>
    <x v="2"/>
    <s v="Copy of 47.11.3.1 Shell_Binding Term Sheet - Feedstock supply.pdf and Copy of 47.2.1.1.1 Commercial Term Sheet Shell - Feedstock.docx, Section 1: Feedstock supply"/>
    <s v="Feedstock Supply Agreements"/>
    <x v="3"/>
    <s v="Take-or-pay Coverage Ratio"/>
    <x v="2"/>
    <s v="per supplier per month"/>
    <s v="The documents confirm that 'take or pay provisions to apply (where applicable)' but do not specify a minimum monthly take-or-pay quantity. Contract quantities are defined on an annual basis (Condensate: minimum 30 million barrels ACQ; Full Range Naphtha: "/>
    <s v="1. Shell - 47.2.1.1.1 Commercial Term Sheet Shell - Feedstock.docx - pg 2_x000a__x000a_Answer:_x000a_same as minimum feedstock quantity.  27million barrels per year of condensate, and _x000a__x000a_10% on top of 170KT of naphtha which is 153KT per year."/>
    <n v="10"/>
    <s v="2026-02-24T09:40:00.916152+00:00"/>
    <x v="3"/>
    <n v="0"/>
    <x v="1"/>
    <b v="0"/>
    <s v="Extraction failed but reference answer exists"/>
    <b v="1"/>
  </r>
  <r>
    <s v="First Full Year CFADS"/>
    <s v="first_full_year_cfads"/>
    <n v="580951.28316742706"/>
    <s v="HIGH"/>
    <x v="2"/>
    <s v="Output_Annual!Cash flow available for debt service (2030)"/>
    <s v="Project Finance Model"/>
    <x v="1"/>
    <s v="EPC &amp; LD Real Economic Risk"/>
    <x v="1"/>
    <m/>
    <s v="Unit: USDk. Matched row: Cash available for debt service"/>
    <m/>
    <n v="0"/>
    <s v="2026-02-24T09:43:16.703890+00:00"/>
    <x v="1"/>
    <m/>
    <x v="0"/>
    <b v="1"/>
    <s v="No PEC Answer reference available"/>
    <b v="1"/>
  </r>
  <r>
    <s v="First Full Year COGS"/>
    <s v="first_full_year_cogs"/>
    <n v="-4393429.4255764401"/>
    <s v="HIGH"/>
    <x v="2"/>
    <s v="Output_Annual!Total feedstock cost (2030)"/>
    <s v="Project Finance Model"/>
    <x v="1"/>
    <s v="EPC &amp; LD Real Economic Risk"/>
    <x v="1"/>
    <m/>
    <s v="Unit: USDk. Matched row: Total feedstock cost"/>
    <m/>
    <n v="0"/>
    <s v="2026-02-24T09:43:16.572117+00:00"/>
    <x v="1"/>
    <m/>
    <x v="0"/>
    <b v="1"/>
    <s v="No PEC Answer reference available"/>
    <b v="1"/>
  </r>
  <r>
    <s v="First Full Year Operating Margin"/>
    <s v="first_full_year_operating_margin"/>
    <n v="8.7599999999999997E-2"/>
    <s v="HIGH"/>
    <x v="2"/>
    <s v="EBIT: Output_Annual!EBIT (2030), Revenue: Output_Annual!Total revenue (2030)"/>
    <s v="Project Finance Model"/>
    <x v="1"/>
    <s v="EPC &amp; LD Real Economic Risk"/>
    <x v="1"/>
    <m/>
    <s v="EBIT (474,170) / Revenue (5,415,615) = 8.76%. Unit: USDk"/>
    <m/>
    <n v="0"/>
    <s v="2026-02-24T09:43:16.734327+00:00"/>
    <x v="1"/>
    <m/>
    <x v="0"/>
    <b v="1"/>
    <s v="No PEC Answer reference available"/>
    <b v="1"/>
  </r>
  <r>
    <s v="First Full Year OpEx"/>
    <s v="first_full_year_opex"/>
    <n v="-262358.72049270797"/>
    <s v="HIGH"/>
    <x v="2"/>
    <s v="Output_Annual!Total variable cost (2030) + Output_Annual!Total fixed cost (2030)"/>
    <s v="Project Finance Model"/>
    <x v="1"/>
    <s v="EPC &amp; LD Real Economic Risk"/>
    <x v="1"/>
    <m/>
    <s v="Unit: USDk. Sum of variable (-75,257) + fixed (-187,102)"/>
    <m/>
    <n v="0"/>
    <s v="2026-02-24T09:43:16.618536+00:00"/>
    <x v="1"/>
    <m/>
    <x v="0"/>
    <b v="1"/>
    <s v="No PEC Answer reference available"/>
    <b v="1"/>
  </r>
  <r>
    <s v="First Full Year Revenue"/>
    <s v="first_full_year_revenue"/>
    <n v="5415614.7039306303"/>
    <s v="HIGH"/>
    <x v="2"/>
    <s v="Output_Annual!Total revenue (2030)"/>
    <s v="Project Finance Model"/>
    <x v="1"/>
    <s v="EPC &amp; LD Real Economic Risk"/>
    <x v="1"/>
    <m/>
    <s v="Unit: USDk. Direct from Financial Model Output_Annual."/>
    <m/>
    <n v="0"/>
    <s v="2026-02-24T09:43:16.554833+00:00"/>
    <x v="1"/>
    <m/>
    <x v="0"/>
    <b v="1"/>
    <s v="No PEC Answer reference available"/>
    <b v="1"/>
  </r>
  <r>
    <s v="Insurance Coverage"/>
    <s v="insurance_coverage"/>
    <s v="2450000000;900000000;300000000;250000000;100000000;50000000;100000000"/>
    <s v="MEDIUM"/>
    <x v="2"/>
    <s v="Copy of 47.8.1.3 Insurance Report_Bankserve.pdf, Section 2 - Executive Summary, Section 2.2 Construction and Operational Phases Insurances; Section 4.4 Construction All Risks"/>
    <s v="Insurance Policies"/>
    <x v="1"/>
    <s v="Insurance &amp; Warranty Risk"/>
    <x v="1"/>
    <s v="per project"/>
    <s v="There is no single 'Insurance Coverage' dollar amount; the project has multiple insurance policies with different coverage limits. Key coverages include: Construction All Risks: US$2,450,000,000 (full contract value); Physical Damage EML: US$900,000,000; "/>
    <s v="Document not provided"/>
    <n v="10"/>
    <s v="2026-02-24T09:39:49.986117+00:00"/>
    <x v="5"/>
    <n v="0"/>
    <x v="0"/>
    <b v="0"/>
    <s v="The reference answer states 'Document not provided', meaning there is no ground truth to compare against. The extracted value contains multiple numeric figures but cannot be validated without a reference."/>
    <b v="1"/>
  </r>
  <r>
    <s v="List of Offtake Products Contracted"/>
    <s v="list_of_offtake_products_contracted"/>
    <s v="Product (likely LNG/commodity product from condensate splitter and aromatics complex); Hydrogen"/>
    <s v="MEDIUM"/>
    <x v="4"/>
    <s v="Copy of 47.2.3.1.2 01_Product Offtake Agreement - PEC v Mitsui Co. Ltd (fully s.pdf; Copy of 47.2.5.1.2 01_Hydrogen Offtake Agreement.pdf; Copy of 47.2.1.2.1 Commercial Term Sheet Shell _ Offtake.docx"/>
    <s v="Binding Term Sheet / Sales &amp; Purchase Agreement / Offtake Agreement"/>
    <x v="4"/>
    <s v="Offtake Coverage Ratio (General)"/>
    <x v="3"/>
    <s v="per project"/>
    <s v="Two distinct offtake agreements are identified: (1) A Product Offtake Agreement between PEC and Mitsui &amp; Co. Ltd covering 'Product' (specific product name is redacted/not explicitly stated but the project involves a condensate splitter and aromatics compl"/>
    <m/>
    <n v="10"/>
    <s v="2026-02-24T09:40:00.377023+00:00"/>
    <x v="1"/>
    <m/>
    <x v="0"/>
    <b v="1"/>
    <s v="No PEC Answer reference available"/>
    <b v="1"/>
  </r>
  <r>
    <s v="List of Products Manufactured"/>
    <s v="list_of_products_manufactured"/>
    <s v="NOT_FOUND"/>
    <s v="MEDIUM"/>
    <x v="4"/>
    <s v="Copy of 47.3.2.1.1.1.2 02_UOP En.pdf, Article 1 (Background) - referenced but not included in provided chunks"/>
    <s v="Engineering Agreement (Tech Supplier)"/>
    <x v="5"/>
    <s v="Offtake Coverage Ratio (General)"/>
    <x v="3"/>
    <s v="per project"/>
    <s v="The Engineering Agreement references Article 1 (Background) as the place where the Complex, UOP Units (Article 1(a)), and Recovery Units (Article 1(b)) are defined, but Article 1 is not included in the provided document chunks. From contextual clues acros"/>
    <s v="_x000a__x000a_engineering document: _x000a_C3 LPG, _x000a_C4 LPG, _x000a_Light Naphtha,_x000a_Benzene, _x000a_para-xylene, _x000a_kerosene, _x000a_diesel,_x000a_fuel oil,_x000a_hydrogen rich gas,_x000a_fuel gas,_x000a_Sulfur"/>
    <n v="10"/>
    <s v="2026-02-24T09:40:09.959387+00:00"/>
    <x v="3"/>
    <n v="0"/>
    <x v="1"/>
    <b v="0"/>
    <s v="Extraction failed but reference answer exists"/>
    <b v="1"/>
  </r>
  <r>
    <s v="Loan life"/>
    <s v="loan_life"/>
    <s v="NOT_FOUND"/>
    <s v="MEDIUM"/>
    <x v="0"/>
    <s v="Copy of 47.1.6 06_PEC Pitch_Jan 26_Sub Debt.pdf"/>
    <s v="Pitch Deck"/>
    <x v="1"/>
    <s v="Volume Contracted"/>
    <x v="0"/>
    <s v="per project"/>
    <s v="The provided chunks do not explicitly state the loan tenor/life in years. There is a reference to a mandatory cash sweep designed to reduce the Senior Secured ECA debt tenor by 3 years, and a Loan Life Coverage Ratio (LLCR) is mentioned, but the actual lo"/>
    <s v="from pitch book, 10 years, including construction"/>
    <n v="10"/>
    <s v="2026-02-24T09:40:11.710644+00:00"/>
    <x v="3"/>
    <n v="0"/>
    <x v="1"/>
    <b v="0"/>
    <s v="Extraction failed but reference answer exists"/>
    <b v="1"/>
  </r>
  <r>
    <s v="Location of storage terminals"/>
    <s v="location_of_storage_terminals"/>
    <s v="PITSB; Dialog PDT Phase 3"/>
    <s v="HIGH"/>
    <x v="4"/>
    <s v="Copy of 47.3.5.1.1.1.1 Dialog Signed Ter.pdf, APPENDIX A - COMMERCIAL PROPOSAL, Sections 2.2, 2.4"/>
    <s v="Terminal Service Agreement (TSA)"/>
    <x v="0"/>
    <s v="Storage &amp; Volume Risk"/>
    <x v="0"/>
    <s v="per project"/>
    <s v="The commercial proposal identifies two terminal locations: (1) PITSB (Pengerang Integrated Storage Terminal Berhad) for condensate storage, and (2) Dialog PDT Phase 3 for other products (sour naphtha, paraxylene, benzene, jet-kero, diesel, light naphtha b"/>
    <s v="pengerang, johor"/>
    <n v="10"/>
    <s v="2026-02-24T09:40:21.207449+00:00"/>
    <x v="0"/>
    <n v="0.3"/>
    <x v="0"/>
    <b v="1"/>
    <s v="The extracted value mentions 'PITSB' and 'Dialog PDT Phase 3', which are facility/terminal names associated with Pengerang, Johor (PITSB likely refers to Pengerang Integrated Terminal Sdn Bhd, and Dialog PDT is the Pengerang Deepwater Terminal). However, "/>
    <b v="1"/>
  </r>
  <r>
    <s v="Longstop Duration"/>
    <s v="longstop_duration"/>
    <n v="18"/>
    <s v="MEDIUM"/>
    <x v="0"/>
    <s v="Copy of 47.3.1.1.1.1 EPCC Contract - CNCEC+PEC.docx, Section: COMPLETION AND ACCEPTANCE &gt; Delay to Performance Tests"/>
    <s v="EPCC Contract"/>
    <x v="2"/>
    <s v="Long Delay &amp; EPC Risk"/>
    <x v="1"/>
    <s v="per project"/>
    <s v="The Performance Testing Delay Longstop Date is defined as eighteen (18) months after the Date of Mechanical Completion. This appears to be the primary 'Longstop' duration referenced in the EPCC Contract. However, the provided context does not contain an e"/>
    <s v="47.11.5.1 EPCC Contract - (W&amp;C Draft_ 18 Nov 2025).docx_x000a__x000a_pg 80_x000a__x000a_(a)        If, by the date which is six (6) months after the Date of Mechanical Completion (the “Performance Testing Delay Longstop Date”):"/>
    <n v="10"/>
    <s v="2026-02-24T09:40:26.560718+00:00"/>
    <x v="3"/>
    <n v="0.1"/>
    <x v="0"/>
    <b v="1"/>
    <s v="The extracted value is 18 (presumably months), but the reference answer indicates the Longstop Duration is 6 months (six months after the Date of Mechanical Completion). The extracted value of 18 does not match the reference value of 6."/>
    <b v="1"/>
  </r>
  <r>
    <s v="Maximum Contracted Deliverable Volume"/>
    <s v="maximum_contracted_deliverable_volume"/>
    <s v="Condensate: 33000000 barrels (30M + 10%); Full Range Naphtha: 187 KT (170 KT + 10%)"/>
    <s v="MEDIUM"/>
    <x v="2"/>
    <s v="Copy of 47.2.1.1.1 Commercial Term Sheet Shell - Feedstock.docx and Copy of 47.11.3.1 Shell_Binding Term Sheet - Feedstock supply.pdf, Section 1: Feedstock supply, Contract Quantity"/>
    <s v="Feedstock Supply Agreements"/>
    <x v="3"/>
    <s v="Supplier Capacity"/>
    <x v="0"/>
    <s v="per supplier _x000a_per year_x000a_per feedstock"/>
    <s v="The documents do not explicitly state a 'Maximum Contracted Deliverable Volume' as a named term. However, the ACQ is defined with ±10% tolerance at Buyer's option/operational tolerance. The maximum annual volume the supplier can deliver under the contract"/>
    <s v="1. Shell - 47.2.1.1.1 Commercial Term Sheet Shell - Feedstock.docx - pg 2_x000a__x000a_Answer: 33million barrels per year of condensate, and _x000a__x000a_10% on top of 170KT of naphtha which is 187KT per year._x000a__x000a__x000a_Equinor - can't find"/>
    <n v="10"/>
    <s v="2026-02-24T09:40:36.531433+00:00"/>
    <x v="2"/>
    <n v="0.95"/>
    <x v="0"/>
    <b v="0"/>
    <s v="The extracted values match the reference: Condensate at 33 million barrels (matching '33million barrels per year') and Full Range Naphtha at 187 KT (matching '10% on top of 170KT of naphtha which is 187KT per year'). The extracted value correctly captures"/>
    <b v="1"/>
  </r>
  <r>
    <s v="Maximum Delay Liquidated Damages (% of contract price)"/>
    <s v="maximum_delay_liquidated_damages_(%_of_contract_price)"/>
    <n v="0.1"/>
    <s v="HIGH"/>
    <x v="1"/>
    <s v="Copy of 47.11.5.1 EPCC Contract - (W&amp;C Draft_ 18 Nov 2025).docx, Sub-Clause 16.4(c)(i); Copy of 47.3.1.1.1.1 EPCC Contract - CNCEC+PEC.docx, Sub-Clause 16.4(c)(i)"/>
    <s v="EPCC Contract"/>
    <x v="2"/>
    <s v="Long Delay &amp; EPC Risk"/>
    <x v="1"/>
    <s v="per project"/>
    <s v="Both EPCC contracts cap IA Delay Liquidated Damages (the schedule/time-related liquidated damages) at 10% of the Contract Price. This is consistent across both the W&amp;C Draft (18 Nov 2025) and the CNCEC+PEC contract. The daily rate is 0.06% of Contract Pri"/>
    <s v="EPCC Contract, 47.3.1.1.1.1 EPCC Contract - CNCEC+PEC.docx, pg97 of document, _x000a__x000a_Ans: for IA Delay Liquidated Damages, shall be ten percent (10%) of the Contract Price; and"/>
    <n v="10"/>
    <s v="2026-02-24T09:40:37.546803+00:00"/>
    <x v="2"/>
    <n v="1"/>
    <x v="0"/>
    <b v="1"/>
    <s v="The extracted value of 10% matches the reference answer of 'ten percent (10%) of the Contract Price' for the maximum Delay Liquidated Damages as a percentage of the contract price."/>
    <b v="1"/>
  </r>
  <r>
    <s v="Maximum Feedstock Cargo Volume"/>
    <s v="maximum_feedstock_cargo_volume"/>
    <s v="Contract 1 (Shell - PEC): FIP/Condensate: 600000 barrels; FIP/Full Range Naphtha: 25000 MT; DAP/Condensate: 2000000 barrels; DAP/Full Range Naphtha: 75000 MT; Contract 2 (Shell - PSTO/PEC): FIP/Condensate: 600000 barrels; FIP/Full Range Naphtha: 25000 MT;"/>
    <s v="HIGH"/>
    <x v="2"/>
    <s v="Chunk 1: Copy of 47.11.3.1 Shell_Binding Term Sheet - Feedstock supply.pdf, Section 'Cargo Volume'; Chunk 2: Copy of 47.2.1.1.1 Commercial Term Sheet Shell - Feedstock.docx, Section 'Cargo Volume'"/>
    <s v="Feedstock Supply Agreements"/>
    <x v="3"/>
    <s v="Transportation Capacity"/>
    <x v="0"/>
    <s v="1. per feedstock contract_x000a_2. per channel_x000a_3. per feedstock"/>
    <s v="Maximum cargo volumes are the upper bounds of the stated parcel size ranges. Both contracts share the same maximums except for FIP Condensate: Contract 1 (47.11.3.1, PSTO/PEC) states FIP Condensate min as 10,000 bbl while Contract 2 (47.2.1.1.1, PEC) stat"/>
    <s v="1. Shell - 47.2.1.1.1 Commercial Term Sheet Shell - Feedstock.docx - pg 4_x000a__x000a_Each feedstock cargo will be supplied by the Seller as per below parcel size and grades:_x000a__x000a_FIP channel (risk and title as feedstock passes the battery limit of the Feedstock Storage"/>
    <n v="10"/>
    <s v="2026-02-24T09:40:47.666777+00:00"/>
    <x v="0"/>
    <n v="0.6"/>
    <x v="0"/>
    <b v="0"/>
    <s v="The extracted values correctly identify the maximum values from the cargo volume ranges (600,000 barrels, 25,000 MT, 2,000,000 barrels, 75,000 MT), matching the upper bounds in the reference. However, the extraction omits the minimum values and the tolera"/>
    <b v="1"/>
  </r>
  <r>
    <s v="Maximum Performance Liqudated Damages (% of contract price)"/>
    <s v="maximum_performance_liqudated_damages_(%_of_contract_price)"/>
    <s v="CNCEC+PEC: 10%; W&amp;C Draft: 10%"/>
    <s v="HIGH"/>
    <x v="1"/>
    <s v="Sub-Clause 16.4 (Limitation of Liability) in both 'Copy of 47.3.1.1.1.1 EPCC Contract - CNCEC+PEC.docx' and 'Copy of 47.11.5.1 EPCC Contract - (W&amp;C Draft_ 18 Nov 2025).docx'"/>
    <s v="EPCC Contract"/>
    <x v="2"/>
    <s v="EPC Contract Delivery Risk"/>
    <x v="1"/>
    <s v="per project"/>
    <s v="Both contracts cap the maximum Performance Liquidated Damages at 10% of the Contract Price. Sub-Clause 16.4(c) in both contracts states: 'for Performance Liquidated Damages, shall be ten percent (10%) of the Contract Price'. Additionally, the aggregate ca"/>
    <s v="EPCC Contract, 47.3.1.1.1.1 EPCC Contract - CNCEC+PEC.docx, pg97 of document, _x000a__x000a_(ii)_x0009_for Performance Liquidated Damages, shall be ten percent (10%) of the Contract Price; and"/>
    <n v="10"/>
    <s v="2026-02-24T09:40:47.666828+00:00"/>
    <x v="2"/>
    <n v="0.95"/>
    <x v="0"/>
    <b v="1"/>
    <s v="The extracted value correctly identifies the Maximum Performance Liquidated Damages as 10% of the Contract Price for the CNCEC+PEC contract, matching the reference answer. The extraction also includes the W&amp;C Draft value (also 10%), which is additional bu"/>
    <b v="1"/>
  </r>
  <r>
    <s v="Maximum Total Liquidated Damanges (% of contract price)"/>
    <s v="maximum_total_liquidated_damanges_(%_of_contract_price)"/>
    <s v="W&amp;C Draft (18 Nov 2025): 20% of the Contract Price; CNCEC+PEC: 20% of the Contract Price"/>
    <s v="HIGH"/>
    <x v="1"/>
    <s v="Copy of 47.11.5.1 EPCC Contract - (W&amp;C Draft_ 18 Nov 2025).docx, Sub-Clause 16.4(c); Copy of 47.3.1.1.1.1 EPCC Contract - CNCEC+PEC.docx, Sub-Clause 16.4(c)"/>
    <s v="EPCC Contract"/>
    <x v="2"/>
    <s v="EPC &amp; LD Real Economic Risk"/>
    <x v="1"/>
    <s v="per project"/>
    <s v="Both contracts cap the aggregate of IA Delay Liquidated Damages and Performance Liquidated Damages (the two categories of liquidated damages) at 20% of the Contract Price. This is the maximum total liquidated damages cap. Note that the total overall Contr"/>
    <s v="&quot;EPCC Contract, 47.3.1.1.1.1 EPCC Contract - CNCEC+PEC.docx, pg97 of document, _x000a__x000a_(ii)        for Performance Liquidated Damages, shall be ten percent (10%) of the Contract Price; and&quot;"/>
    <n v="10"/>
    <s v="2026-02-24T09:40:54.693137+00:00"/>
    <x v="3"/>
    <n v="0.2"/>
    <x v="0"/>
    <b v="1"/>
    <s v="The reference answer specifies that the maximum total liquidated damages for Performance Liquidated Damages is 10% of the Contract Price (from the CNCEC+PEC document). The extracted value states 20% of the Contract Price for both documents. The 20% figure"/>
    <b v="1"/>
  </r>
  <r>
    <s v="Minimum Contracted Deliverable Volume"/>
    <s v="minimum_contracted_deliverable_volume"/>
    <s v="Condensate: 27000000 barrels; Full Range Naphtha: 153000 MT"/>
    <s v="HIGH"/>
    <x v="2"/>
    <s v="Copy of 47.2.1.1.1 Commercial Term Sheet Shell - Feedstock.docx, Section 1: Feedstock supply, Contract Quantity"/>
    <s v="Feedstock Supply Agreements"/>
    <x v="3"/>
    <s v="Transportation Cost"/>
    <x v="0"/>
    <s v="1. per feedstock contract_x000a_2. per feestock"/>
    <s v="The minimum contracted deliverable volume is derived from the ACQ with the -10% tolerance at Buyer's option. For Condensate: 30,000,000 barrels × (1 - 10%) = 27,000,000 barrels. For Full Range Naphtha: 170 KT × (1 - 10%) = 153 KT (153,000 MT). The term sh"/>
    <s v="1. Shell - 47.2.1.1.1 Commercial Term Sheet Shell - Feedstock.docx - pg 2_x000a__x000a_Answer: 27million barrels per year of condensate, and _x000a__x000a_10% on top of 170KT of naphtha which is 153KT per year._x000a__x000a__x000a_47.2.2.1.1 Equinor - Feedstock Sale and Product Purchase Agreement"/>
    <n v="10"/>
    <s v="2026-02-24T09:41:07.932527+00:00"/>
    <x v="0"/>
    <n v="0.5"/>
    <x v="0"/>
    <b v="0"/>
    <s v="The extracted value correctly captures the Shell feedstock minimum contracted deliverable volumes (27 million barrels of condensate and 153KT of naphtha), matching the Shell portion of the reference answer. However, the reference also includes Equinor's m"/>
    <b v="1"/>
  </r>
  <r>
    <s v="Nameplate Capacity"/>
    <s v="nameplate_capacity"/>
    <s v="NHT: 4,113 KMTA (102,100 BPSD); CCR Platforming: 3,201 KMTA (77,400 BPSD); CFU: 6,356 KMTA (150,000 BPSD); Merox: 10,200 Barrels per operating day (3,570,000 Barrels per calendar year); Distillate Unionfining (Diesel): 30,700 Barrels per operating day (10"/>
    <s v="HIGH"/>
    <x v="4"/>
    <s v="Copy of 47.3.2.1.1.1.2 02_UOP En.pdf (Attachment II, Schedule B.2, Parts 2 &amp; 3) and Copy of 47.3.2.1.1.2.1 PEC - Licens.pdf (Schedule A, Definitions sections 3, 7, 10, 18, 19, 25, 30, 33, 37, 45, 47, 49)"/>
    <s v="Engineering Agreement (Tech Supplier)"/>
    <x v="5"/>
    <s v="Volume Contracted"/>
    <x v="0"/>
    <s v="1. per product type_x000a_2. per unit"/>
    <s v="Design capacities extracted from both the Engineering Agreement and the License Agreement. Units vary by product type: KMTA and BPSD for feed processing units, MTA/KMTA for product units, MT/day for aromatics complex units. Calendar year figures based on "/>
    <s v="Per Type of Product Output_x000a__x000a_engineering document: _x000a_C3 LPG - 2264 BPDS,  64 KMTA_x000a_C4 LPG 7871 BPDS, 253 KMTA_x000a_Light Naphtha 26,462 BPDS, 961 KMTA_x000a_Benzene, 591 KMTA_x000a_para-xylene 1683 KMTA_x000a_kerosene: 16279 BPDS, 718 KMTA_x000a_diesel: 31,536 BPDS, 1440 KMTA_x000a_fuel oil: "/>
    <n v="10"/>
    <s v="2026-02-24T09:41:21.799724+00:00"/>
    <x v="0"/>
    <n v="0.35"/>
    <x v="0"/>
    <b v="1"/>
    <s v="The extracted value and reference answer approach nameplate capacity from fundamentally different angles. The reference provides capacity per type of product output (C3 LPG, C4 LPG, Light Naphtha, Benzene, para-xylene, kerosene, diesel, fuel oil, fuel gas"/>
    <b v="1"/>
  </r>
  <r>
    <s v="Nameplate Capacity Units"/>
    <s v="nameplate_capacity_units"/>
    <s v="NHT: 4,113 KMTA (102,100 BPSD); CCRU: 3,201 KMTA (77,400 BPSD); Aromatics Complex Benzene: 591 KMTA (1,688 MTA per operating day); Aromatics Complex Para-xylene: 1,683 KMTA (4,808 MTA per operating day); Merox Unit: 3,570,000 Barrels per calendar year (10"/>
    <s v="HIGH"/>
    <x v="1"/>
    <s v="Copy of 47.3.2.1.1.1.2 02_UOP En.pdf (Schedule B.2, Parts 2 &amp; 3) and Copy of 47.3.2.1.1.2.1 PEC - Licens.pdf (Schedule A, Definitions)"/>
    <s v="Engineering Agreement (Tech Supplier)"/>
    <x v="5"/>
    <s v="Volume Contracted"/>
    <x v="0"/>
    <m/>
    <s v="Units vary by product type: KMTA (kilo metric tons per annum), BPSD (barrels per stream day), MTA (metric tons per operating day or per calendar year), lb/h (pounds per hour for catalyst circulation). Capacity figures are based on 8,400 operating hours/ye"/>
    <s v="Per Type of Product Output_x000a__x000a_engineering document: _x000a_C3 LPG - 2264 BPDS,  64 KMTA_x000a_C4 LPG 7871 BPDS, 253 KMTA_x000a_Light Naphtha 26,462 BPDS, 961 KMTA_x000a_Benzene, 591 KMTA_x000a_para-xylene 1683 KMTA_x000a_kerosene: 16279 BPDS, 718 KMTA_x000a_diesel: 31,536 BPDS, 1440 KMTA_x000a_fuel oil: "/>
    <n v="10"/>
    <s v="2026-02-24T09:41:25.163862+00:00"/>
    <x v="3"/>
    <n v="0.2"/>
    <x v="0"/>
    <b v="1"/>
    <s v="The question asks for 'Nameplate Capacity Units' (i.e., the units of measurement used for nameplate capacity). The reference answer states the units are 'Per Type of Product Output' with specific product-level capacities in BPDS and KMTA. The extracted va"/>
    <b v="1"/>
  </r>
  <r>
    <s v="Number of Feedstock Requiring Storage"/>
    <s v="number_of_feedstock_requiring_storage"/>
    <n v="2"/>
    <s v="MEDIUM"/>
    <x v="0"/>
    <s v="Copy of 47.2.1.1.1 Commercial Term Sheet Shell - Feedstock.docx, Section: Contract Quantity; Copy of 47.11.3.1 Shell_Binding Term Sheet - Feedstock supply.pdf, Section: Grade &amp; Quality"/>
    <s v="Storage &amp; Handling Agreement / Plan"/>
    <x v="0"/>
    <s v="Storage &amp; Volume Risk"/>
    <x v="0"/>
    <s v="per project"/>
    <s v="The feedstock types requiring storage are Condensate and Full Range Naphtha (FRN), as identified across multiple binding term sheets and the storage/handling commercial proposal (Chunk 7 references 'Storage &amp; Handling of Feedstocks and Finished Products f"/>
    <n v="2"/>
    <n v="10"/>
    <s v="2026-02-24T09:41:26.183993+00:00"/>
    <x v="2"/>
    <n v="1"/>
    <x v="0"/>
    <b v="1"/>
    <s v="The extracted value of 2 exactly matches the reference answer of 2."/>
    <b v="1"/>
  </r>
  <r>
    <s v="Number of Feedstock Sellers Entities"/>
    <s v="number_of_feedstock_sellers_entities"/>
    <n v="2"/>
    <s v="HIGH"/>
    <x v="0"/>
    <s v="Derived from Feedstock Seller's Entity: Shell International Eastern Trading Company (SIETCO); Equinor ASA"/>
    <s v="Feedstock Supply Agreements"/>
    <x v="3"/>
    <s v="Supplier Concentration"/>
    <x v="0"/>
    <m/>
    <s v="Count of entities: ['Shell International Eastern Trading Company (SIETCO)', 'Equinor ASA']"/>
    <m/>
    <n v="0"/>
    <s v="2026-02-24T09:43:17.327819+00:00"/>
    <x v="1"/>
    <m/>
    <x v="0"/>
    <b v="1"/>
    <s v="No PEC Answer reference available"/>
    <b v="1"/>
  </r>
  <r>
    <s v="Number of Offtake Buyer Entities"/>
    <s v="number_of_offtake_buyer_entities"/>
    <n v="2"/>
    <s v="MEDIUM"/>
    <x v="0"/>
    <s v="Multiple offtake agreement documents: Copy of 47.2.3.1.2 01_Product Offtake Agreement - PEC v Mitsui Co. Ltd; Copy of 47.2.1.2.1 Commercial Term Sheet Shell _ Offtake.docx; Copy of 47.11.3.2 Shell_Binding Term Sheet - Products offtake.pdf; Copy of 47.2.5."/>
    <s v="Binding Term Sheet / Sales &amp; Purchase Agreement / Offtake Agreement"/>
    <x v="4"/>
    <s v="Offtake Coverage Ratio (General)"/>
    <x v="3"/>
    <s v="per project"/>
    <s v="The datapoint name says 'Offtake Buyer Entities' but the definition says 'offtake seller entities'. Interpreting as buyer entities: From the available documents, two distinct offtake buyer entities are identifiable: (1) Mitsui &amp; Co. Ltd (from the Product "/>
    <n v="5"/>
    <n v="10"/>
    <s v="2026-02-24T09:41:41.480089+00:00"/>
    <x v="3"/>
    <n v="0.1"/>
    <x v="0"/>
    <b v="1"/>
    <s v="The extracted value is 2, but the reference answer is 5 offtake buyer entities. The extraction identified only some of the buyer entities from the documents, missing 3 of the 5 total buyers."/>
    <b v="1"/>
  </r>
  <r>
    <s v="Number of Offtake Seller Entities"/>
    <s v="number_of_offtake_seller_entities"/>
    <n v="2"/>
    <s v="MEDIUM"/>
    <x v="1"/>
    <s v="Copy of 47.2.1.2.1 Commercial Term Sheet Shell _ Offtake.docx, Section 2: Parties; Copy of 47.11.3.2 Shell_Binding Term Sheet - Products offtake.pdf, Section 2: Parties"/>
    <s v="Binding Term Sheet / Sales &amp; Purchase Agreement / Offtake Agreement"/>
    <x v="4"/>
    <s v="Offtake Coverage Ratio (General)"/>
    <x v="3"/>
    <s v="per project"/>
    <s v="Based on the available offtake agreement documents, the seller entities identified are: (1) Pengerang Energy Complex Sdn Bhd (PEC) appearing as Seller in the Shell offtake term sheet (47.2.1.2.1) and as seller/company in the Mitsui Product Offtake Agreeme"/>
    <n v="5"/>
    <n v="10"/>
    <s v="2026-02-24T09:41:44.416051+00:00"/>
    <x v="3"/>
    <n v="0"/>
    <x v="0"/>
    <b v="1"/>
    <s v="The extracted value is 2 offtake seller entities, while the reference answer is 5. The extraction significantly undercounts the number of offtake seller entities, likely missing entities from other documents in the dataset."/>
    <b v="1"/>
  </r>
  <r>
    <s v="Number of Products Manufactured"/>
    <s v="number_of_products_manufactured"/>
    <s v="NOT_FOUND"/>
    <s v="HIGH"/>
    <x v="0"/>
    <s v="Copy of 47.3.2.1.1.1.2 02_UOP En.pdf and Copy of 47.3.2.1.1.1.3 04_UOP Ag.pdf (Engineering Agreement and Amendment)"/>
    <s v="Engineering Agreement (Tech Supplier)"/>
    <x v="5"/>
    <s v="Offtake Coverage Ratio (General)"/>
    <x v="3"/>
    <s v="per project"/>
    <s v="The Engineering Agreement and its amendment cover engineering design services (optimization, design basis, and basic engineering design specifications) for a petrochemical complex. There is no mention of 'number of products manufactured' anywhere in the d"/>
    <n v="11"/>
    <n v="10"/>
    <s v="2026-02-24T09:41:46.217436+00:00"/>
    <x v="3"/>
    <n v="0"/>
    <x v="1"/>
    <b v="0"/>
    <s v="Extraction failed but reference answer exists"/>
    <b v="1"/>
  </r>
  <r>
    <s v="Number of Storage Terminals"/>
    <s v="number_of_storage_terminals"/>
    <s v="NOT_FOUND"/>
    <s v="MEDIUM"/>
    <x v="0"/>
    <s v="Copy of 47.3.5.1.2.1.1 PEC TSA dated 15 May 2.docx, Schedule A (Capacity and Infrastructure)"/>
    <s v="Terminal Service Agreement (TSA)"/>
    <x v="0"/>
    <s v="Storage &amp; Volume Risk"/>
    <x v="0"/>
    <s v="per project"/>
    <s v="The document references 'the Terminal' as a single facility throughout the TSA. Schedule A details 13 storage tanks across various product groups but does not explicitly state the number of storage terminals. The agreement appears to pertain to one termin"/>
    <n v="2"/>
    <n v="10"/>
    <s v="2026-02-24T09:41:51.100217+00:00"/>
    <x v="3"/>
    <n v="0"/>
    <x v="1"/>
    <b v="0"/>
    <s v="Extraction failed but reference answer exists"/>
    <b v="1"/>
  </r>
  <r>
    <s v="Number of Types of Feedstock Contracted"/>
    <s v="number_of_types_of_feedstock_contracted"/>
    <n v="2"/>
    <s v="HIGH"/>
    <x v="0"/>
    <s v="Derived from Types of Feedstock Contracted: Condensate (from a basket of pre-agreed grades including: Permian Light Crude / Condensate, North West Shelf Condensate, Gorgon Condensate, Wheatstone Condensate, Bayu Undan Condensate, Senipah Condensate, Gerag"/>
    <s v="Feedstock Supply Agreements"/>
    <x v="3"/>
    <s v="Supplier Concentration"/>
    <x v="0"/>
    <m/>
    <s v="Count of types: ['Condensate (from a basket of pre-agreed grades including: Permian Light Crude / Condensate, North West Shelf Condensate, Gorgon Condensate, Wheatstone Condensate, Bayu Undan Condensate, Senipah Condensate, Geragai Condensate, Bintulu Con"/>
    <m/>
    <n v="0"/>
    <s v="2026-02-24T09:43:17.327846+00:00"/>
    <x v="1"/>
    <m/>
    <x v="0"/>
    <b v="1"/>
    <s v="No PEC Answer reference available"/>
    <b v="1"/>
  </r>
  <r>
    <s v="Offtake Buyer Entities"/>
    <s v="offtake_buyer_entities"/>
    <s v="Shell International Eastern Trading Company (SIETCO); Mitsui &amp; Co., Ltd"/>
    <s v="HIGH"/>
    <x v="4"/>
    <s v="Copy of 47.11.3.2 Shell_Binding Term Sheet - Products offtake.pdf (Section 2: Product Offtake - Parties); Copy of 47.2.1.2.1 Commercial Term Sheet Shell _ Offtake.docx (Section 2: Product Offtake - Parties); Copy of 47.2.3.1.2 01_Product Offtake Agreement"/>
    <s v="Binding Term Sheet / Sales &amp; Purchase Agreement / Offtake Agreement"/>
    <x v="4"/>
    <s v="Offtake Coverage Ratio (General)"/>
    <x v="3"/>
    <s v="per project"/>
    <s v="Two offtake buyer entities identified for the Pengerang Energy Complex project: (1) Shell International Eastern Trading Company (SIETCO), a registered business of Shell Eastern Trading (Pte) Ltd incorporated in Singapore, identified as 'Buyer' in both the"/>
    <s v="Shell, Mitsui, PTT, Pandita, Equinor"/>
    <n v="10"/>
    <s v="2026-02-24T09:42:02.378122+00:00"/>
    <x v="0"/>
    <n v="0.4"/>
    <x v="0"/>
    <b v="1"/>
    <s v="The extracted value identifies 2 out of 5 offtake buyer entities (Shell/SIETCO and Mitsui). It is missing PTT, Pandita, and Equinor, so it captures only a partial set of the correct answer."/>
    <b v="1"/>
  </r>
  <r>
    <s v="Offtake Contract Quantity Units"/>
    <s v="offtake_contract_quantity_units"/>
    <s v="Shell contract: Gasoil 10ppm 1,440 KT, Jet A-1 725 KT, Very Low Sulphur Fuel Oil 420 KT, Light Naphtha 450 KT, Benzene 315 KT (each ±10% at Seller's option) per Contract Year; Mitsui contract: Annual Contract Quantity for Paraxylene and Benzene (specific "/>
    <s v="HIGH"/>
    <x v="1"/>
    <s v="Shell: Copy of 47.2.1.2.1 Commercial Term Sheet Shell _ Offtake.docx, Section 2 Contract Quantity (and Copy of 47.11.3.2 Shell_Binding Term Sheet - Products offtake.pdf, Section 2 Contract Quantity); Mitsui: Copy of 47.2.3.1.2 01_Product Offtake Agreement"/>
    <s v="Binding Term Sheet / Sales &amp; Purchase Agreement / Offtake Agreement"/>
    <x v="4"/>
    <s v="Price Structure/Exposure-indexed"/>
    <x v="3"/>
    <s v="per contract per year"/>
    <s v="Units are in KT (kilotonnes) for Shell and MT (metric tonnes) for PTT. The Mitsui POA references the 'Annual Contract Quantity' for Paraxylene and Benzene but the specific baseline volume figures are not included in the provided chunks (likely in a defini"/>
    <s v="47.2.1.2.1 Commercial Term Sheet Shell _ Offtake.docx _x000a__x000a_pg 2_x000a__x000a_Seller to supply and Buyer to purchase and offtake the following products on a mandatory basis: _x000a_•        Gasoil 10ppm: Baseline Annual Contract Quantity (“ACQ”) of a minimum of 1,440 KT during"/>
    <n v="10"/>
    <s v="2026-02-24T09:42:22.522606+00:00"/>
    <x v="0"/>
    <n v="0.55000000000000004"/>
    <x v="0"/>
    <b v="1"/>
    <s v="The extracted value correctly captures the Shell contract quantities and units (KT), the Mitsui units (MT for paraxylene and benzene), and the PTT units (MT for paraxylene and benzene) with specific quantity details. However, it completely misses the Equi"/>
    <b v="1"/>
  </r>
  <r>
    <s v="Offtake Contract Term"/>
    <s v="offtake_contract_term"/>
    <s v="PEC v Mitsui: 12 years from Commercial Operations Date (Initial Term), extendable by mutual agreement; PEC v PTT (PX-BZ): 5 years from Commercial Operations Date (Initial Term), automatically renewed to 10th anniversary of Offtake Commencement Date (Exten"/>
    <s v="HIGH"/>
    <x v="1"/>
    <s v="PEC v Mitsui: Copy of 47.2.3.1.2, Section 3.2 Term; PEC v PTT: Copy of 47.2.4.1.1, Section 3.2 Term; Hydrogen: Copy of 47.2.5.1.2, Sections 3.2 Term and 3.3 Extension"/>
    <s v="Binding Term Sheet / Sales &amp; Purchase Agreement / Offtake Agreement"/>
    <x v="4"/>
    <s v="Offtake Coverage Ratio (General)"/>
    <x v="3"/>
    <s v="per offtake contract"/>
    <s v="Three offtake contracts identified: (1) PEC v Mitsui Co. Ltd Product Offtake Agreement - Initial Term of 12 years from Commercial Operations Date, with option to request extension by mutual written agreement (90 days' notice before expiry required). (2) P"/>
    <s v="47.2.1.2.1 Commercial Term Sheet Shell _ Offtake.docx,_x000a__x000a_pg 1, _x000a__x000a_ans: 12 years_x000a__x000a_47.2.2.2.1 Equinor - Feedstock Sale and Product Purchase Agreemen.pdf_x000a__x000a_pg 25_x000a__x000a_(10th) anniversary of the COD"/>
    <n v="10"/>
    <s v="2026-02-24T09:42:09.260319+00:00"/>
    <x v="0"/>
    <n v="0.55000000000000004"/>
    <x v="0"/>
    <b v="1"/>
    <s v="The extracted value contains multiple contract terms from different agreements. It correctly identifies 12 years (matching the Shell reference of 12 years, though attributed to Mitsui rather than Shell) and mentions the 10th anniversary (matching the Equi"/>
    <b v="1"/>
  </r>
  <r>
    <s v="Offtake Contract Term Extension"/>
    <s v="offtake_contract_term_extension"/>
    <s v="PEC-PTT POA (PX-BZ): Automatic renewal from Initial Term (5 years from Commercial Operations Date) to Extended Term (10th anniversary of Offtake Commencement Date), unless either party gives written notice within 30 days after the 3rd anniversary of the O"/>
    <s v="HIGH"/>
    <x v="1"/>
    <s v="PEC-PTT POA: Copy of 47.2.4.1.1 PEC - PTT POA (PX - BZ) (17 01 23) (signed).pdf, Section 3.2 Term; Mitsui POA: Copy of 47.2.3.1.2 01_Product Offtake Agreement - PEC v Mitsui Co. Ltd (fully s.pdf, Section 3.2 Term; Hydrogen Offtake: Copy of 47.2.5.1.2 01_H"/>
    <s v="Binding Term Sheet / Sales &amp; Purchase Agreement / Offtake Agreement"/>
    <x v="4"/>
    <s v="Offtake Coverage Ratio (General)"/>
    <x v="3"/>
    <s v="per offtake contract"/>
    <s v="Four distinct offtake contracts identified. The PEC-PTT agreement features an automatic extension mechanism with an opt-out window. The Mitsui agreement requires mutual written agreement for extension. The Hydrogen Offtake Agreement has automatic successi"/>
    <s v="47.2.1.2.1 Commercial Term Sheet Shell _ Offtake.docx,_x000a__x000a_pg 1, _x000a__x000a_ans:  Option to extend the Term by an additional 5 years, if mutually agreed._x000a__x000a_47.2.2.2.1 Equinor - Feedstock Sale and Product Purchase Agreemen.pdf_x000a__x000a_pg 27_x000a_ans: Equinor shall, in its sole dis"/>
    <n v="10"/>
    <s v="2026-02-24T09:42:15.939612+00:00"/>
    <x v="0"/>
    <n v="0.55000000000000004"/>
    <x v="0"/>
    <b v="1"/>
    <s v="The extracted value covers extension terms for Shell (5-year mutual extension option - matches), PTT, Mitsui, and Hydrogen Offtake agreements with detailed extension mechanisms. However, it is missing the Equinor contract extension term entirely (option t"/>
    <b v="1"/>
  </r>
  <r>
    <s v="Offtake Delivery Channel"/>
    <s v="offtake_delivery_channel"/>
    <s v="Shell: FIP or FOB; Mitsui: FOB; PTT: FOB; Hydrogen: Pipeline"/>
    <s v="HIGH"/>
    <x v="1"/>
    <s v="Shell Binding Term Sheet (Nominations process section) - FIP and FOB channels; PEC v Mitsui Product Offtake Agreement Section 2.8(a) - FOB delivery; PEC-PTT POA - FOB (implied from cargo/loading references); Hydrogen Offtake Agreement Clause 2.2(b)(i) - P"/>
    <s v="Binding Term Sheet / Sales &amp; Purchase Agreement / Offtake Agreement"/>
    <x v="4"/>
    <s v="Offtake Coverage Ratio (General)"/>
    <x v="3"/>
    <s v="1. per offtake contract"/>
    <s v="Shell Products Offtake: Buyer nominates delivery channel as either FIP (Free In Pipeline/facility) or FOB (Free On Board), per the nominations process. Mitsui Product Offtake: Delivery is FOB at PEC Facility. PTT Product Offtake: FOB delivery implied from"/>
    <s v="&quot;47.2.1.2.1 Commercial Term Sheet Shell _ Offtake.docx _x000a__x000a_pg 3,_x000a__x000a_Each product cargo will be supplied to the Buyer as per below parcel size and grades:_x000a__x000a_FIP channel (risk and title to pass at Product Storage Facilities battery limit)_x000a__x000a_•        Gasoil 10ppm:"/>
    <n v="10"/>
    <s v="2026-02-24T09:42:23.048959+00:00"/>
    <x v="0"/>
    <n v="0.85"/>
    <x v="0"/>
    <b v="1"/>
    <s v="The extracted value correctly identifies the delivery channels for Shell (FIP and FOB), Mitsui (FOB), PTT (FOB), and Hydrogen/Pandita (Pipeline). However, it omits the Equinor entry (which is 'not defined' in the reference). It also refers to the hydrogen"/>
    <b v="1"/>
  </r>
  <r>
    <s v="Offtake Pricing Formula"/>
    <s v="offtake_pricing_formula"/>
    <s v="PEC v Mitsui (Paraxylene): Paraxylene Product Price = Paraxylene Price Index – Frt + Adjustment, where Paraxylene Price Index is any traded price index or combination accepted by the industry (determined by Buyer), Frt is prevailing chemical tanker freigh"/>
    <s v="HIGH"/>
    <x v="1"/>
    <s v="PEC v Mitsui: Schedule F, Paragraph 1 of 'Product Offtake Agreement - PEC v Mitsui Co. Ltd'; Shell: Section 2 'Price of the Cargo' of 'Shell_Binding Term Sheet - Products offtake.pdf' and '47.2.1.2.1 Commercial Term Sheet Shell _ Offtake.docx'; Hydrogen: "/>
    <s v="Binding Term Sheet / Sales &amp; Purchase Agreement / Offtake Agreement"/>
    <x v="4"/>
    <s v="Take or pay contract strength"/>
    <x v="3"/>
    <s v="1. per offtake contract_x000a_2. per offtake product"/>
    <s v="All prices are expressed in USD per metric ton (PEC v Mitsui and Shell) or per Nm³ (Hydrogen). The PEC v Mitsui pricing is FOB Port of Delivery; Shell pricing is FOB basis. The Hydrogen Offtake Agreement references Schedule D for its pricing formula but t"/>
    <s v="Shell, 47.2.1.2.1 Commercial Term Sheet Shell _ Offtake.docx _x000a__x000a_pg 6_x000a__x000a_Ans: For each product cargo, the Price formula will be applicable for the respective month of loading at Load port (the Loading Month), which shall be the same as the Feedstock Delivery "/>
    <n v="10"/>
    <s v="2026-02-24T09:42:37.409584+00:00"/>
    <x v="0"/>
    <n v="0.55000000000000004"/>
    <x v="0"/>
    <b v="1"/>
    <s v="The extraction covers Shell, Mitsui, and Hydrogen agreements but misses Equinor (P = PM + AD – MS) and PTT (paraxylene = (50% ACP + 50% AMP) - Frt + Adjustment; benzene = Platts FOB Korea + adjustment) entirely. For Mitsui, the paraxylene formula is extra"/>
    <b v="1"/>
  </r>
  <r>
    <s v="Offtake Product Contract Quantity"/>
    <s v="offtake_product_contract_quantity"/>
    <s v="NOT_FOUND"/>
    <s v="MEDIUM"/>
    <x v="2"/>
    <s v="Copy of 47.2.3.1.2 01_Product Offtake Agreement - PEC v Mitsui Co. Ltd (fully s.pdf, Section 2.1; Copy of 47.11.3.2 Shell_Binding Term Sheet - Products offtake.pdf, Section 2; Copy of 47.2.4.1.1 PEC - PTT POA (PX - BZ) (17 01 23) (signed).pdf, Schedule C-"/>
    <s v="Binding Term Sheet / Sales &amp; Purchase Agreement / Offtake Agreement"/>
    <x v="4"/>
    <s v="Price Structure/Exposure-indexed"/>
    <x v="3"/>
    <s v="per offtake contract_x000a_per offtake product"/>
    <s v="The documents reference 'Annual Contract Quantity' as the committed volume (e.g., in the PEC v Mitsui agreement Section 2.1: 'quantities of the Product equal to the Annual Contract Quantity'), but the actual numeric value of the Annual Contract Quantity i"/>
    <s v="47.2.1.2.1 Commercial Term Sheet Shell _ Offtake.docx _x000a__x000a_pg 2_x000a__x000a_Seller to supply and Buyer to purchase and offtake the following products on a mandatory basis: _x000a_•        Gasoil 10ppm: Baseline Annual Contract Quantity (“ACQ”) of a minimum of 1,440 KT during"/>
    <n v="10"/>
    <s v="2026-02-24T09:42:32.778637+00:00"/>
    <x v="3"/>
    <n v="0"/>
    <x v="1"/>
    <b v="0"/>
    <s v="Extraction failed but reference answer exists"/>
    <b v="1"/>
  </r>
  <r>
    <s v="Offtake Seller Entities"/>
    <s v="offtake_seller_entities"/>
    <s v="Pengerang Product Supply and Trading Organisation Pte. Ltd. (PSTO); Pengerang Energy Complex Sdn Bhd (PEC)"/>
    <s v="HIGH"/>
    <x v="4"/>
    <s v="Copy of 47.11.3.2 Shell_Binding Term Sheet - Products offtake.pdf, Section 2: Product Offtake, Parties; Copy of 47.2.1.2.1 Commercial Term Sheet Shell _ Offtake.docx, Section 2: Product Offtake, Parties; Copy of 47.2.3.1.2 01_Product Offtake Agreement - P"/>
    <s v="Binding Term Sheet / Sales &amp; Purchase Agreement / Offtake Agreement"/>
    <x v="4"/>
    <s v="Offtake Coverage Ratio (General)"/>
    <x v="3"/>
    <s v="per project"/>
    <s v="Two seller entities identified across the offtake agreements: (1) PSTO (Pengerang Product Supply and Trading Organisation Pte. Ltd.) is the Seller in the Shell binding term sheet (47.11.3.2); (2) PEC (Pengerang Energy Complex Sdn Bhd) is the Seller in the"/>
    <n v="1"/>
    <n v="10"/>
    <s v="2026-02-24T09:39:49.494038+00:00"/>
    <x v="5"/>
    <n v="0"/>
    <x v="0"/>
    <b v="1"/>
    <s v="The reference answer is '1', which appears to be a count or index, while the extracted value lists specific entity names (PSTO and PEC). These are fundamentally different types of information and cannot be meaningfully compared. The expected data type is "/>
    <b v="1"/>
  </r>
  <r>
    <s v="Offtaker Book Value of Equity"/>
    <s v="offtaker_book_value_of_equity"/>
    <s v="NOT_FOUND"/>
    <s v="MEDIUM"/>
    <x v="2"/>
    <s v="Multiple offtakers present: Shell Eastern Trading (Pte) Ltd and PTT International Trading Pte Ltd"/>
    <s v="Offtaker 3 years audited financial statement"/>
    <x v="4"/>
    <s v="Credit Quality Risk"/>
    <x v="4"/>
    <s v="per offtaker"/>
    <s v="Two offtakers are present in the document. Shell Eastern Trading (Pte) Ltd has total equity (book value of equity) of US$3,667,414 thousand (2024) and PTT International Trading Pte Ltd has total equity (book value of equity) of US$386,211 thousand (Group,"/>
    <s v="Shell; 47.11.1.1 Shell Eastern Trading Audited Financials FY 2022.pdf; pg 9, value for 2022 = 6,776,402,000_x000a__x000a_Shell; 47.11.1.1 Shell Eastern Trading Audited Financials FY 2023.pdf; pg 9, value for 2023=4,407,259,000_x000a__x000a_Shell; 47.11.1.1 Shell Eastern Trading "/>
    <n v="4"/>
    <s v="2026-02-24T09:39:54.260233+00:00"/>
    <x v="3"/>
    <n v="0"/>
    <x v="1"/>
    <b v="0"/>
    <s v="Extraction failed but reference answer exists"/>
    <b v="1"/>
  </r>
  <r>
    <s v="Offtaker Current Assets"/>
    <s v="offtaker_current_assets"/>
    <s v="Shell Eastern Trading: 15509378; PTT International Trading: 2582425"/>
    <s v="HIGH"/>
    <x v="2"/>
    <s v="Shell Eastern Trading (Pte) Ltd, Balance Sheet, Current Assets, FY 2024, US$'000; PTT International Trading Pte Ltd and Its Subsidiary, Balance Sheet (Group), Current Assets, FY 2024, US$'000"/>
    <s v="Offtaker 3 years audited financial statement"/>
    <x v="4"/>
    <s v="Credit Quality Risk"/>
    <x v="4"/>
    <s v="per offtaker"/>
    <s v="Two offtakers identified. Shell Eastern Trading current assets for FY2024: US$15,509,378 thousand (US$15.51 billion). PTT International Trading current assets (Group) for FY2024: US$2,582,425 thousand (US$2.58 billion). Both values are in US$ thousands. T"/>
    <s v="&quot;Shell; 47.11.1.1 Shell Eastern Trading Audited Financials FY 2022.pdf; pg 8, Current Asset value for 2022 = 21,319,920,000_x000a__x000a_Shell; 47.11.1.1 Shell Eastern Trading Audited Financials FY 2023.pdf; pg 8, Current Asset value for 2023=15,454,863,000_x000a__x000a_Shell; 4"/>
    <n v="4"/>
    <s v="2026-02-24T09:40:02.000315+00:00"/>
    <x v="0"/>
    <n v="0.5"/>
    <x v="0"/>
    <b v="0"/>
    <s v="The Shell Eastern Trading FY 2024 value matches: extracted 15,509,378 (in thousands) = 15,509,378,000, which matches the reference exactly. However, the PTT value is problematic. The extracted value of 2,582,425 (in thousands = 2,582,425,000) doesn't matc"/>
    <b v="1"/>
  </r>
  <r>
    <s v="Offtaker Current Liabilities"/>
    <s v="offtaker_current_liabilities"/>
    <n v="12078104"/>
    <s v="HIGH"/>
    <x v="2"/>
    <s v="Shell Eastern Trading (Pte) Ltd, Balance Sheet, Current Liabilities total, 2024, US$'000"/>
    <s v="Offtaker 3 years audited financial statement"/>
    <x v="4"/>
    <s v="Credit Quality Risk"/>
    <x v="4"/>
    <s v="per offtaker"/>
    <s v="Shell Eastern Trading current liabilities as at 31 December 2024: US$12,078,104 thousand. This is an annual balance sheet figure. Components include: Provisions ($57,330k), Derivative financial instruments ($562,033k), Lease liabilities ($86,381k), Trade "/>
    <s v="&quot;Shell; 47.11.1.1 Shell Eastern Trading Audited Financials FY 2022.pdf; pg 8, value for 2022 = 14,539,170,000_x000a__x000a_Shell; 47.11.1.1 Shell Eastern Trading Audited Financials FY 2023.pdf; pg 8, value for 2023=11,284,630,000_x000a__x000a_Shell; 47.11.1.1 Shell Eastern Tradi"/>
    <n v="4"/>
    <s v="2026-02-24T09:40:06.398638+00:00"/>
    <x v="0"/>
    <n v="0.6"/>
    <x v="0"/>
    <b v="1"/>
    <s v="The extracted value of 12,078,104 from Shell Eastern Trading FY 2024 corresponds to the reference value of 12,078,104,000 for the same entity and year. The numbers match in digits but differ by a factor of 1,000 — the extracted value appears to be in US$'"/>
    <b v="1"/>
  </r>
  <r>
    <s v="Offtaker EBIT (Earnings Before Interest &amp; Taxes)"/>
    <s v="offtaker_ebit_(earnings_before_interest_&amp;_taxes)"/>
    <s v="{'Shell Eastern Trading (Pte) Ltd': 1840990, 'PTT International Trading Pte Ltd (Group)': 78907}"/>
    <s v="HIGH"/>
    <x v="2"/>
    <s v="Shell Eastern Trading (Pte) Ltd &amp; PTT International Trading Pte Ltd, Statement of Comprehensive Income, FY 2024, US$'000"/>
    <s v="Offtaker 3 years audited financial statement"/>
    <x v="4"/>
    <s v="Credit Quality Risk"/>
    <x v="4"/>
    <s v="per offtaker"/>
    <s v="EBIT calculated as Profit before tax + Finance expense/costs - Finance income/Interest income. Shell Eastern Trading: 1,954,797 + 65,702 - 179,509 = US$1,840,990 thousand (US$1.84B). PTT International Trading (Group): 78,028 + 12,228 - 11,349 = US$78,907 "/>
    <s v="Shell; 47.11.1.1 Shell Eastern Trading Audited Financials FY 2022.pdf; pg 7, &quot;Profit before tax&quot;: value for 2022 = 6,221,173,000_x000a__x000a_Shell; 47.11.1.1 Shell Eastern Trading Audited Financials FY 2023.pdf; pg 7, &quot;Profit before tax&quot;: value for 2023=2,088,510,00"/>
    <n v="4"/>
    <s v="2026-02-24T09:40:12.215808+00:00"/>
    <x v="3"/>
    <n v="0.15"/>
    <x v="0"/>
    <b v="0"/>
    <s v="Multiple issues: 1) The extracted values use the wrong metric - the datapoint asks for EBIT but the reference uses 'Profit before tax' (which is closer to EBT, not EBIT, but that's the accepted ground truth). 2) The extracted Shell value of 1,840,990 (in "/>
    <b v="1"/>
  </r>
  <r>
    <s v="Offtaker Retained Earnings"/>
    <s v="offtaker_retained_earnings"/>
    <s v="NOT_FOUND"/>
    <s v="LOW"/>
    <x v="2"/>
    <s v="Multiple entities found: Shell Eastern Trading (Pte) Ltd and PTT International Trading Pte Ltd"/>
    <s v="Offtaker 3 years audited financial statement"/>
    <x v="4"/>
    <s v="Credit Quality Risk"/>
    <x v="4"/>
    <s v="per offtaker"/>
    <s v="The datapoint requests retained earnings 'per offtaker' but does not specify which offtaker. Two entities are present in the documents: Shell Eastern Trading (Pte) Ltd (retained earnings: US$2,817,214 thousand as at 31 Dec 2024) and PTT International Trad"/>
    <s v="Shell; 47.11.1.1 Shell Eastern Trading Audited Financials FY 2022.pdf; pg 9, value for 2022 = 5,930,393,000_x000a__x000a_Shell; 47.11.1.1 Shell Eastern Trading Audited Financials FY 2023.pdf; pg 9, value for 2023=3,558,603,000_x000a__x000a_Shell; 47.11.1.1 Shell Eastern Trading "/>
    <n v="10"/>
    <s v="2026-02-24T09:40:13.501828+00:00"/>
    <x v="3"/>
    <n v="0"/>
    <x v="1"/>
    <b v="0"/>
    <s v="Extraction failed but reference answer exists"/>
    <b v="1"/>
  </r>
  <r>
    <s v="Offtaker Total Assets"/>
    <s v="offtaker_total_assets"/>
    <s v="NOT_FOUND"/>
    <s v="MEDIUM"/>
    <x v="2"/>
    <s v="Shell Eastern Trading (Pte) Ltd and PTT International Trading Pte Ltd, Balance sheets, Total assets, FY 2024, US$'000"/>
    <s v="Offtaker 3 years audited financial statement"/>
    <x v="4"/>
    <s v="Credit Quality Risk"/>
    <x v="4"/>
    <s v="per offtaker"/>
    <s v="Two offtakers found. Shell Eastern Trading (Pte) Ltd FY2024 total assets: US$16,127,552 thousand (US$16.13B). PTT International Trading Pte Ltd (Group) FY2024 total assets: US$2,586,641 thousand (US$2.59B). The datapoint requests 'per offtaker' but does n"/>
    <s v="Shell; 47.11.1.1 Shell Eastern Trading Audited Financials FY 2022.pdf; pg 8, value for 2022 = 21,822,162,000_x000a__x000a_Shell; 47.11.1.1 Shell Eastern Trading Audited Financials FY 2023.pdf; pg 8, value for 2023 = 16,075,492,000_x000a__x000a_Shell; 47.11.1.1 Shell Eastern Trad"/>
    <n v="4"/>
    <s v="2026-02-24T09:40:25.408781+00:00"/>
    <x v="3"/>
    <n v="0"/>
    <x v="1"/>
    <b v="0"/>
    <s v="Extraction failed but reference answer exists"/>
    <b v="1"/>
  </r>
  <r>
    <s v="Operating Days Per Year"/>
    <s v="operating_days_per_year"/>
    <s v="NOT_FOUND"/>
    <s v="MEDIUM"/>
    <x v="2"/>
    <s v="Copy of 47.1.4 02_ProjectPEC_Financial Model_v0.617.xlsb, Flags section (Chunks 1 and 2)"/>
    <s v="Project Finance Model"/>
    <x v="1"/>
    <s v="Volume Contracted"/>
    <x v="0"/>
    <s v="per project, per calendar year"/>
    <s v="No single 'Operating Days Per Year' input parameter was found. The model tracks operating days on a monthly basis with periodic reductions for maintenance shutdowns (some months show 24 or 0 operating days instead of full calendar days). The 'Days per yea"/>
    <s v="project finance model, _x000a_excel sheet:  C_ops_x000a_row 13, sum up for each year_x000a_358 days per calendar year"/>
    <n v="10"/>
    <s v="2026-02-24T09:40:38.594473+00:00"/>
    <x v="3"/>
    <n v="0"/>
    <x v="1"/>
    <b v="0"/>
    <s v="Extraction failed but reference answer exists"/>
    <b v="1"/>
  </r>
  <r>
    <s v="Performance and Warranty Bond Percentage"/>
    <s v="performance_and_warranty_bond_percentage"/>
    <n v="15"/>
    <s v="HIGH"/>
    <x v="2"/>
    <s v="Copy of 47.3.1.1.1.1 EPCC Contract - CNCEC+PEC.docx, Section: THE CONTRACTOR &gt; Contractor Securities &gt; Performance and Warranty Bond (Sub-Clause 4.2.1); also confirmed in Copy of 47.11.5.1 EPCC Contract - (W&amp;C Draft_ 18 Nov 2025).docx, same section"/>
    <s v="EPCC Contract"/>
    <x v="2"/>
    <s v="EPC Contract Delivery Risk"/>
    <x v="1"/>
    <s v="per project"/>
    <s v="The Performance and Warranty Bond is set at 15% of the Contract Price initially. It reduces to 7.5% of the Contract Price upon issuance of the Initial Acceptance Certificate. Both EPCC contracts (CNCEC+PEC and the W&amp;C Draft dated 18 Nov 2025) specify the "/>
    <s v="EPCC Contract, 47.3.1.1.1.1 EPCC Contract - CNCEC+PEC.docx, pg42 of document, _x000a__x000a_Prior to the Commencement Date, the Contractor shall furnish an unconditional, on-demand and irrevocable bank guarantee payable on first demand of the Owner, issued by an Acce"/>
    <n v="10"/>
    <s v="2026-02-24T09:40:27.325912+00:00"/>
    <x v="2"/>
    <n v="1"/>
    <x v="0"/>
    <b v="1"/>
    <s v="The extracted value of 15 matches the reference answer which states the Performance and Warranty Bond is 'fifteen percent (15%) of the Contract Price'. The extracted value correctly captures the percentage as a float."/>
    <b v="1"/>
  </r>
  <r>
    <s v="Project Capacity (main product)"/>
    <s v="project_capacity_(main_product)"/>
    <s v="Para-xylene: 1,683,000 KMTA (4,808 Metric Tons per Operating Day); Benzene: 591,000 KMTA (1,688 Metric Tons per Operating Day)"/>
    <s v="HIGH"/>
    <x v="1"/>
    <s v="Copy of 47.3.2.1.1.2.1 PEC - Licens.pdf, Schedule A, Definition 3 (Aromatics Complex); also referenced in Engineering Agreement Amendment S0132622.A003 noting 2000 KMTA Paraxylene capacity for the latest design"/>
    <s v="Engineering Agreement (Tech Supplier)"/>
    <x v="5"/>
    <s v="Reference Plant Capacity Ratio"/>
    <x v="5"/>
    <s v="per project"/>
    <s v="The project is a Condensate Refinery and Aromatics Complex at Pengerang, Johor, Malaysia. The main revenue-generating products (Specified Products) are Para-xylene at 1,683,000 Metric Tons per calendar year (based on 8,400 operating hours) and Benzene at "/>
    <s v="47.3.2.1.1.1.1 01_PEC En.pdf_x000a__x000a_document page 36, Ans: 1683 KMTA of Paraxylene"/>
    <n v="10"/>
    <s v="2026-02-24T09:40:35.945881+00:00"/>
    <x v="2"/>
    <n v="0.95"/>
    <x v="0"/>
    <b v="1"/>
    <s v="The extracted value correctly identifies the main product capacity as 1,683 KMTA of Paraxylene, matching the reference answer exactly. The extraction also includes additional details (daily tonnage and Benzene capacity) that go beyond the reference but do"/>
    <b v="1"/>
  </r>
  <r>
    <s v="Project Country"/>
    <s v="project_country"/>
    <s v="Malaysia"/>
    <s v="HIGH"/>
    <x v="1"/>
    <s v="Copy of 47.1.6 06_PEC Pitch_Jan 26_Sub Debt.pdf, Section: Overview &gt; Global Trade and Site Location Map; Copy of 47.8.1.2 Environmental Report_Ramboll_Dec 23.pdf, Section: Executive Summary &gt; The Project; Section: 2.1 Site Location &gt; 2.1.1 Malaysian Conte"/>
    <s v="Site Location Maps"/>
    <x v="6"/>
    <s v="Country Risk"/>
    <x v="6"/>
    <s v="per project"/>
    <s v="The Pengerang Energy Complex (PEC) is located in Pengerang, State of Johor, Malaysia. Multiple sources consistently confirm the project country as Malaysia, with the site strategically positioned on the south-east tip of Peninsular Malaysia."/>
    <s v="47.1.6 06_PEC Pitch_Jan 26_Sub Debt.pdf _x000a__x000a_pg3_x000a__x000a_Ans: Malaysia"/>
    <n v="10"/>
    <s v="2026-02-24T09:40:41.267135+00:00"/>
    <x v="2"/>
    <n v="1"/>
    <x v="0"/>
    <b v="1"/>
    <s v="The extracted value 'Malaysia' exactly matches the reference answer 'Malaysia'."/>
    <b v="1"/>
  </r>
  <r>
    <s v="Project Location"/>
    <s v="project_location"/>
    <s v="NOT_FOUND"/>
    <s v="HIGH"/>
    <x v="1"/>
    <s v="Copy of 47.8.1.2 Environmental Report_Ramboll_Dec 23.pdf and Copy of 47.1.6 06_PEC Pitch_Jan 26_Sub Debt.pdf"/>
    <s v="Site Location Maps"/>
    <x v="6"/>
    <s v="Country Risk"/>
    <x v="6"/>
    <s v="per project"/>
    <s v="The documents describe the project location qualitatively (southeast tip of Malaysia, within Pengerang Integrated Petrochemical Complex, Johor) and include aerial/schematic maps, but no GPS coordinates are provided in any of the retrieved chunks. The expe"/>
    <s v="47.1.6 06_PEC Pitch_Jan 26_Sub Debt.pdf _x000a__x000a_pg3_x000a__x000a_Ans:_x000a_Pengerang Integrated Petrochemical Complex (PIPC)"/>
    <n v="10"/>
    <s v="2026-02-24T09:40:44.590298+00:00"/>
    <x v="3"/>
    <n v="0"/>
    <x v="1"/>
    <b v="0"/>
    <s v="Extraction failed but reference answer exists"/>
    <b v="1"/>
  </r>
  <r>
    <s v="Project Total Capex"/>
    <s v="project_total_capex"/>
    <n v="-379524"/>
    <s v="HIGH"/>
    <x v="2"/>
    <s v="Sheet: Output_Annual, Row: 'Total capex (excl. financing cost) - construction phase', Year 2029"/>
    <s v="Project Finance Model"/>
    <x v="1"/>
    <s v="Reference CAPEX Ratio"/>
    <x v="5"/>
    <s v="per project"/>
    <s v="Value is in USDk (thousands of US dollars). The total capex of -379,524.0 USDk (i.e., ~$379.5 million) appears in 2029 (construction phase) and is 0.0 in all subsequent years, indicating it represents the full project capital expenditure during constructi"/>
    <s v="From Project Finance Model - Dashboard, M31 = 3,765,250,000"/>
    <n v="0"/>
    <s v="2026-02-24T09:40:51.753110+00:00"/>
    <x v="3"/>
    <n v="0"/>
    <x v="0"/>
    <b v="1"/>
    <s v="The extracted value of -379,524.0 is vastly different from the reference value of 3,765,250,000. The extracted value appears to be a single year's capex figure from the Output_Annual sheet (possibly in thousands), while the reference is the total project "/>
    <b v="1"/>
  </r>
  <r>
    <s v="Project Total Raise"/>
    <s v="project_total_raise"/>
    <n v="5411.6"/>
    <s v="HIGH"/>
    <x v="2"/>
    <s v="Copy of 47.1.6 06_PEC Pitch_Jan 26_Sub Debt.pdf, Section: PEC Capital Structure: Sources &amp; Uses of Funds"/>
    <s v="Pitch Deck"/>
    <x v="1"/>
    <s v="Reference CAPEX Ratio"/>
    <x v="5"/>
    <s v="per project"/>
    <s v="Total project cost is USD 5,411.6 million (also referenced as approximately USD 5.4 billion in the Key Parameters section). This figure represents both Total Sources and Total Uses of Funds. Unit: USD millions."/>
    <s v="47.1.6 06_PEC Pitch_Jan 26_Sub Debt.pdf, pg 15, _x000a__x000a_Ans: USD 5.4 bln"/>
    <n v="10"/>
    <s v="2026-02-24T09:40:55.550566+00:00"/>
    <x v="2"/>
    <n v="0.95"/>
    <x v="0"/>
    <b v="1"/>
    <s v="The extracted value of 5411.6 (likely in millions) corresponds to approximately USD 5.4 billion, which matches the reference answer of USD 5.4 bln. The slight difference (5.4116 bln vs 5.4 bln) is due to the reference rounding to one decimal place. The va"/>
    <b v="1"/>
  </r>
  <r>
    <s v="Storage Cost Formula"/>
    <s v="storage_cost_formula"/>
    <s v="Monthly Storage Fee = Tariff (S$/m³/month) x Total Capacity (m³); with annual CPI escalation: (Y) = (Y-1) * (IF), where (Y) = Fixed Charges in prevailing contractual year, (Y-1) = Fixed Charges in preceding contractual year, (IF) = Escalation Factor = 1 +"/>
    <s v="MEDIUM"/>
    <x v="1"/>
    <s v="Copy of 47.3.5.1.2.1.1 PEC TSA dated 15 May 2.docx, Schedule A (Service Charges) - Fixed Charges section; and Copy of 47.3.5.1.1.1.1 Dialog Signed Ter.pdf, Appendix A Section 2.5.1"/>
    <s v="Terminal Service Agreement (TSA)"/>
    <x v="0"/>
    <s v="Storage &amp; Volume Risk"/>
    <x v="0"/>
    <s v="per project"/>
    <s v="The TSA does not provide a single explicit 'Total Storage Cost Formula' label. The storage cost is composed of: (1) Fixed Charges calculated as tariff rate per m³/month multiplied by total capacity (e.g., S$9.01/m³ × 591,368 m³ for feedstock/petrochemical"/>
    <s v="sum of Charges per month x total capacity, and partial basis of 40% pegged to malaysia consumer price index and applicable price index is capped at 3%"/>
    <n v="10"/>
    <s v="2026-02-24T09:41:16.142908+00:00"/>
    <x v="0"/>
    <n v="0.72"/>
    <x v="0"/>
    <b v="1"/>
    <s v="The extracted value captures the core formula (tariff x total capacity for monthly fee) and the CPI escalation mechanism (40% pegged to CPI, capped at 3%, floored at 0%). However, there are discrepancies: the reference mentions 'sum of Charges per month' "/>
    <b v="1"/>
  </r>
  <r>
    <s v="Storage Demurrage Rate Cap"/>
    <s v="storage_demurrage_rate_cap"/>
    <n v="100000"/>
    <s v="MEDIUM"/>
    <x v="2"/>
    <s v="Copy of 47.3.5.1.2.1.1 PEC TSA dated 15 May 2.docx, Section 22: NO DEMURRAGE"/>
    <s v="Storage &amp; Handling Agreement / Plan"/>
    <x v="0"/>
    <s v="Storage &amp; Volume Risk"/>
    <x v="0"/>
    <s v="per project"/>
    <s v="The Terminal Services Agreement specifies a demurrage liability cap of SGD 100,000.00 per Contract Year. This is the only storage-related demurrage rate/cap found in the provided context. The value is in SGD (Singapore Dollars), not a per-unit rate but ra"/>
    <s v="SGD 100,000 per year"/>
    <n v="10"/>
    <s v="2026-02-24T09:41:14.673478+00:00"/>
    <x v="2"/>
    <n v="1"/>
    <x v="0"/>
    <b v="1"/>
    <s v="The extracted value of 100000.00 matches the reference answer of SGD 100,000 per year. The numeric value is equivalent; the currency (SGD) and period (per year) context are not part of the float value itself."/>
    <b v="1"/>
  </r>
  <r>
    <s v="Storage Terminal Construction Liquidated Damages Cap"/>
    <s v="storage_terminal_construction_liquidated_damages_cap"/>
    <n v="14400000"/>
    <s v="HIGH"/>
    <x v="2"/>
    <s v="Copy of 47.3.5.1.2.1.1 PEC TSA dated 15 May 2.docx, Section 4.3.1 - Liquidated Damages for Delay"/>
    <s v="Terminal Service Agreement (TSA)"/>
    <x v="0"/>
    <s v="Storage &amp; Volume Risk"/>
    <x v="0"/>
    <s v="per project"/>
    <s v="The maximum liquidated damages cap is SGD 14,400,000 (SGD 14.4 million), calculated as SGD 80,000 per day × 180 days maximum. This is the cap for delay in the Services Commencement Date. The same figure of SGD 14.4m also appears in Clause 3.2A as the agre"/>
    <s v="daily rate of SGD 100,000 per day per condensate tank, SGD 80,000 per day per other product tank, capped at 6 months."/>
    <n v="10"/>
    <s v="2026-02-24T09:41:20.385052+00:00"/>
    <x v="5"/>
    <n v="0"/>
    <x v="0"/>
    <b v="1"/>
    <s v="Comparison failed: Expecting value: line 1 column 1 (char 0)"/>
    <b v="1"/>
  </r>
  <r>
    <s v="Storage Terminal Construction Liquidated Damages Rate"/>
    <s v="storage_terminal_construction_liquidated_damages_rate"/>
    <n v="80000"/>
    <s v="HIGH"/>
    <x v="2"/>
    <s v="Copy of 47.3.5.1.2.1.1 PEC TSA dated 15 May 2.docx, Section 4.3.1 - Liquidated Damages for Delay"/>
    <s v="Terminal Service Agreement (TSA)"/>
    <x v="0"/>
    <s v="Storage &amp; Volume Risk"/>
    <x v="0"/>
    <s v="per project, per type of product"/>
    <s v="The rate is SGD 80,000.00 per day, applicable for delays in the Services Commencement Date beyond the Scheduled Services Commencement Date, up to a maximum of 180 days. This is a general storage terminal services delay LD rate and is not differentiated by"/>
    <s v="daily rate of SGD 100,000 per day per condensate tank, SGD 80,000 per day per other product tank"/>
    <n v="10"/>
    <s v="2026-02-24T09:41:25.635513+00:00"/>
    <x v="0"/>
    <n v="0.4"/>
    <x v="0"/>
    <b v="1"/>
    <s v="The extracted value of 80,000 matches one component of the liquidated damages rate (SGD 80,000 per day per other product tank), but misses the other rate of SGD 100,000 per day per condensate tank. The reference contains two distinct rates, and only one w"/>
    <b v="1"/>
  </r>
  <r>
    <s v="Storage Terminal Contract Term"/>
    <s v="storage_terminal_contract_term"/>
    <s v="NOT_FOUND"/>
    <s v="LOW"/>
    <x v="0"/>
    <s v="Copy of 47.3.5.1.2.1.1 PEC TSA dated 15 May 2.docx; Copy of 47.3.5.1.1.1.1 Dialog Signed Ter.pdf"/>
    <s v="Terminal Service Agreement (TSA)"/>
    <x v="0"/>
    <s v="Storage &amp; Volume Risk"/>
    <x v="0"/>
    <s v="per project"/>
    <s v="The provided chunks do not contain the specific contract term/duration for the storage terminal facilities usage. The Dialog document (Chunk 5) references a 'Contractual Period' section (Section 2.1) in its table of contents, but the actual content of tha"/>
    <s v="25 years"/>
    <n v="10"/>
    <s v="2026-02-24T09:41:37.441993+00:00"/>
    <x v="3"/>
    <n v="0"/>
    <x v="1"/>
    <b v="0"/>
    <s v="Extraction failed but reference answer exists"/>
    <b v="1"/>
  </r>
  <r>
    <s v="Storage Terminal Contract Term Extension"/>
    <s v="storage_terminal_contract_term_extension"/>
    <s v="NOT_FOUND"/>
    <s v="HIGH"/>
    <x v="0"/>
    <s v="Copy of 47.3.5.1.2.1.1 PEC TSA dated 15 May 2.docx - all provided chunks reviewed"/>
    <s v="Terminal Service Agreement (TSA)"/>
    <x v="0"/>
    <s v="Storage &amp; Volume Risk"/>
    <x v="0"/>
    <s v="per project"/>
    <s v="The provided chunks from the PEC TSA do not contain information about contract term extension provisions. While the document's Appendix A table of contents (from the Dialog terminal agreement) references a 'Contractual Period' section (2.1), the actual co"/>
    <s v="not available"/>
    <n v="10"/>
    <s v="2026-02-24T09:41:39.848345+00:00"/>
    <x v="4"/>
    <n v="1"/>
    <x v="1"/>
    <b v="0"/>
    <s v="Both extraction and reference indicate no data available"/>
    <b v="1"/>
  </r>
  <r>
    <s v="Storage Terminal Contract Term Start Year"/>
    <s v="storage_terminal_contract_term_start_year"/>
    <s v="NOT_FOUND"/>
    <s v="MEDIUM"/>
    <x v="3"/>
    <s v="Copy of 47.3.5.1.2.1.1 PEC TSA dated 15 May 2.docx, Section 4 (Services Commencement Date)"/>
    <s v="Terminal Service Agreement (TSA)"/>
    <x v="0"/>
    <s v="Storage &amp; Volume Risk"/>
    <x v="0"/>
    <s v="per project"/>
    <s v="The TSA does not specify a fixed start year for the storage facility usage. The Services Commencement Date is determined through a procedural process: it falls within a 'Planned Start Window' of 3 months commencing after the Mechanical Completion Date (MC"/>
    <s v="aligned with commencement year"/>
    <n v="10"/>
    <s v="2026-02-24T09:41:45.159549+00:00"/>
    <x v="3"/>
    <n v="0"/>
    <x v="1"/>
    <b v="0"/>
    <s v="Extraction failed but reference answer exists"/>
    <b v="1"/>
  </r>
  <r>
    <s v="Storage Terminal Handling Entity"/>
    <s v="storage_terminal_handling_entity"/>
    <s v="PITSB"/>
    <s v="HIGH"/>
    <x v="1"/>
    <s v="Copy of 47.3.5.1.2.1.1 PEC TSA dated 15 May 2.docx, Section 23 (Dedicated and Shared/Common Facilities) and contextual references throughout the document"/>
    <s v="Terminal Service Agreement (TSA)"/>
    <x v="0"/>
    <s v="Storage &amp; Volume Risk"/>
    <x v="0"/>
    <s v="per project"/>
    <s v="The TSA is between PEC (Customer) and PITSB (Terminal Operator/handling entity). PITSB is identified as the terminal handling entity in the document context. The Terminal Operator's parent company is Dialog Terminals Sdn Bhd as referenced in Section 3.4 ("/>
    <s v="Dialog Terminal"/>
    <n v="10"/>
    <s v="2026-02-24T09:41:50.258801+00:00"/>
    <x v="3"/>
    <n v="0"/>
    <x v="0"/>
    <b v="1"/>
    <s v="The extracted value 'PITSB' does not match the reference answer 'Dialog Terminal'. PITSB appears to be a different entity entirely from Dialog Terminal, which is the correct storage terminal handling entity."/>
    <b v="1"/>
  </r>
  <r>
    <s v="Storage Terminal Liability Cap"/>
    <s v="storage_terminal_liability_cap"/>
    <s v="NOT_FOUND"/>
    <s v="MEDIUM"/>
    <x v="2"/>
    <s v="Copy of 47.3.5.1.2.1.1 PEC TSA dated 15 May 2.docx, Section 28.1 Limits of Liability"/>
    <s v="Storage &amp; Handling Agreement / Plan"/>
    <x v="0"/>
    <s v="Storage &amp; Volume Risk"/>
    <x v="0"/>
    <s v="per project"/>
    <s v="The document references a liability cap for the Terminal Services Agreement in Clause 28.1.5, but the actual value/amount specified in Clause 28.1.5 is not included in the provided context chunks. Chunk 5 (Clause 28.1.3) references 'the limit of liability"/>
    <s v="SGD 3M per year"/>
    <n v="10"/>
    <s v="2026-02-24T09:41:53.749692+00:00"/>
    <x v="3"/>
    <n v="0"/>
    <x v="1"/>
    <b v="0"/>
    <s v="Extraction failed but reference answer exists"/>
    <b v="1"/>
  </r>
  <r>
    <s v="Total Feedstock Supply Contracted Baseline"/>
    <s v="total_feedstock_supply_contracted_baseline"/>
    <s v="Condensate: 30 million barrels; Full Range Naphtha: 170 KT"/>
    <s v="MEDIUM"/>
    <x v="2"/>
    <s v="Copy of 47.2.1.1.1 Commercial Term Sheet Shell - Feedstock.docx and Copy of 47.11.3.1 Shell_Binding Term Sheet - Feedstock supply.pdf, Section 1: Feedstock supply, Contract Quantity"/>
    <s v="Feedstock Supply Agreements"/>
    <x v="3"/>
    <s v="Volume Contracted"/>
    <x v="0"/>
    <s v="per year, per feedstock"/>
    <s v="The documents only provide Shell/SIETCO's contracted baseline quantities. The Equinor agreement (47.2.2.2.1) references facility capacity of 150,000 barrels/day condensate and 935 MT/day FRN but does not specify Equinor's exact contracted annual quantitie"/>
    <s v="To get the sum across the two contracts. _x000a__x000a_(not so easy, we need conversion of units before addition)"/>
    <n v="10"/>
    <s v="2026-02-24T09:42:01.262255+00:00"/>
    <x v="0"/>
    <n v="0.4"/>
    <x v="0"/>
    <b v="0"/>
    <s v="The extracted value identifies the two individual feedstock quantities from the two contracts (Condensate: 30 million barrels and Full Range Naphtha: 170 KT), which is the correct raw data needed. However, the task required computing a total by converting"/>
    <b v="1"/>
  </r>
  <r>
    <s v="Total Fixed Cost"/>
    <s v="total_fixed_cost"/>
    <s v="NOT_FOUND"/>
    <s v="MEDIUM"/>
    <x v="2"/>
    <s v="Copy of 47.1.4 02_ProjectPEC_Financial Model_v0.617.xlsb, Section 2.6 Fixed cost"/>
    <s v="Project Finance Model"/>
    <x v="1"/>
    <s v="EPC &amp; LD Real Economic Risk"/>
    <x v="1"/>
    <s v="per year, month, and day"/>
    <s v="The document provides individual fixed cost line items per year (Maintenance as % of EPC, O&amp;M Expense: $3,000k/year, Connected Services: $350k/year, Land Charge: $8,000k/year, Storage &amp; Terminaling: $118,242.5k/year, Insurance as % of EPC+UOP, Nitrogen: $"/>
    <s v="Apr 2026 - Dec 2029:_x000a_C_Cons Sheet,  F113 Total Capex = 3,765,250,000 _x000a__x000a_Jan 2030 onwards:_x000a_Project Finance Model, C_Ops Sheet, Row 773 Total Fixed Cost, ALL"/>
    <n v="10"/>
    <s v="2026-02-24T09:42:10.473378+00:00"/>
    <x v="3"/>
    <n v="0"/>
    <x v="1"/>
    <b v="0"/>
    <s v="Extraction failed but reference answer exists"/>
    <b v="1"/>
  </r>
  <r>
    <s v="Total Storage Cost"/>
    <s v="total_storage_cost"/>
    <n v="118242.5"/>
    <s v="HIGH"/>
    <x v="2"/>
    <s v="Copy of 47.1.4 02_ProjectPEC_Financial Model_v0.617.xlsb, Section 2.6.1 Fixed costs per year - 'Fixed Cost - Storage &amp; Terminaling'"/>
    <s v="Terminal Service Agreement (TSA)"/>
    <x v="0"/>
    <s v="Storage &amp; Volume Risk"/>
    <x v="0"/>
    <s v="per project"/>
    <s v="Value is USD 118,242.5 thousand per year (USDk/year), equivalent to approximately USD 118.2 million per year. This is the total storage and terminaling cost from the project financial model. The TSA documents (both PEC TSA and Dialog Signed Terminal Agree"/>
    <s v="SGD 10, 809, 637, monthly"/>
    <n v="10"/>
    <s v="2026-02-24T09:42:09.698050+00:00"/>
    <x v="3"/>
    <n v="0.05"/>
    <x v="0"/>
    <b v="1"/>
    <s v="The extracted value of 118,242.5 is vastly different from the reference value of SGD 10,809,637 (monthly). The extracted value appears to be off by roughly two orders of magnitude and doesn't match even if we consider different time periods (e.g., 118,242"/>
    <b v="1"/>
  </r>
  <r>
    <s v="Types of Feedstock Contracted"/>
    <s v="types_of_feedstock_contracted"/>
    <s v="Condensate (from a basket of pre-agreed grades including: Permian Light Crude / Condensate, North West Shelf Condensate, Gorgon Condensate, Wheatstone Condensate, Bayu Undan Condensate, Senipah Condensate, Geragai Condensate, Bintulu Condensate, Rong Doi "/>
    <s v="HIGH"/>
    <x v="1"/>
    <s v="Shell Binding Term Sheet (47.11.3.1 and 47.2.1.1.1), Section 1: Feedstock supply, Grade &amp; Quality; Equinor Feedstock Sale and Product Purchase Agreement (47.2.2.2.1), Recitals and Table of Contents"/>
    <s v="Feedstock Supply Agreements"/>
    <x v="3"/>
    <s v="Supplier Concentration"/>
    <x v="0"/>
    <s v="per project"/>
    <s v="Both the Shell and Equinor agreements identify two primary feedstock categories: Condensate and Full Range Naphtha (FRN). The Shell term sheets list 20+ specific pre-agreed condensate grades selected per PEC's linear programming optimization, plus Full Ra"/>
    <s v="Condensate, Naphtha"/>
    <n v="10"/>
    <s v="2026-02-24T09:42:20.584186+00:00"/>
    <x v="2"/>
    <n v="1"/>
    <x v="0"/>
    <b v="1"/>
    <s v="The extracted value identifies the two types of feedstock contracted as Condensate and Naphtha (specifically 'Full Range Naphtha'), which matches the reference answer of 'Condensate, Naphtha'. The additional detail about specific grades and quality specif"/>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 tables 2" cacheId="1317" applyNumberFormats="0" applyBorderFormats="0" applyFontFormats="0" applyPatternFormats="0" applyAlignmentFormats="0" applyWidthHeightFormats="0" dataCaption="" updatedVersion="8" compact="0" compactData="0">
  <location ref="E1:H8" firstHeaderRow="1" firstDataRow="2" firstDataCol="1"/>
  <pivotFields count="21">
    <pivotField name="datapoint" dataField="1" compact="0" outline="0" multipleItemSelectionAllowed="1" showAll="0"/>
    <pivotField name="label" compact="0" outline="0" multipleItemSelectionAllowed="1" showAll="0"/>
    <pivotField name="extracted_value" compact="0" outline="0" multipleItemSelectionAllowed="1" showAll="0"/>
    <pivotField name="confidence" compact="0" outline="0" multipleItemSelectionAllowed="1" showAll="0"/>
    <pivotField name="expected_data_type" axis="axisRow" compact="0" outline="0" multipleItemSelectionAllowed="1" showAll="0" sortType="ascending">
      <items count="6">
        <item x="4"/>
        <item x="3"/>
        <item x="2"/>
        <item x="0"/>
        <item x="1"/>
        <item t="default"/>
      </items>
    </pivotField>
    <pivotField name="source_reference" compact="0" outline="0" multipleItemSelectionAllowed="1" showAll="0"/>
    <pivotField name="document_source" compact="0" outline="0" multipleItemSelectionAllowed="1" showAll="0"/>
    <pivotField name="document_category" compact="0" outline="0" multipleItemSelectionAllowed="1" showAll="0"/>
    <pivotField name="risk_oracle_name" compact="0" outline="0" multipleItemSelectionAllowed="1" showAll="0"/>
    <pivotField name="risk_oracle_category" compact="0" outline="0" multipleItemSelectionAllowed="1" showAll="0"/>
    <pivotField name="dimensions" compact="0" outline="0" multipleItemSelectionAllowed="1" showAll="0"/>
    <pivotField name="notes" compact="0" outline="0" multipleItemSelectionAllowed="1" showAll="0"/>
    <pivotField name="pec_answer" compact="0" outline="0" multipleItemSelectionAllowed="1" showAll="0"/>
    <pivotField name="chunks_retrieved" compact="0" outline="0" multipleItemSelectionAllowed="1" showAll="0"/>
    <pivotField name="extracted_at" compact="0" outline="0" multipleItemSelectionAllowed="1" showAll="0"/>
    <pivotField name="match_status" compact="0" outline="0" multipleItemSelectionAllowed="1" showAll="0"/>
    <pivotField name="accuracy_score" compact="0" outline="0" multipleItemSelectionAllowed="1" showAll="0"/>
    <pivotField name="extraction_success" axis="axisCol" compact="0" outline="0" multipleItemSelectionAllowed="1" showAll="0" sortType="ascending">
      <items count="3">
        <item x="1"/>
        <item x="0"/>
        <item t="default"/>
      </items>
    </pivotField>
    <pivotField name="type_valid" compact="0" outline="0" multipleItemSelectionAllowed="1" showAll="0"/>
    <pivotField name="comparison_explanation" compact="0" outline="0" multipleItemSelectionAllowed="1" showAll="0"/>
    <pivotField name="has_source_reference" compact="0" outline="0" multipleItemSelectionAllowed="1" showAll="0"/>
  </pivotFields>
  <rowFields count="1">
    <field x="4"/>
  </rowFields>
  <rowItems count="6">
    <i>
      <x/>
    </i>
    <i>
      <x v="1"/>
    </i>
    <i>
      <x v="2"/>
    </i>
    <i>
      <x v="3"/>
    </i>
    <i>
      <x v="4"/>
    </i>
    <i t="grand">
      <x/>
    </i>
  </rowItems>
  <colFields count="1">
    <field x="17"/>
  </colFields>
  <colItems count="3">
    <i>
      <x/>
    </i>
    <i>
      <x v="1"/>
    </i>
    <i t="grand">
      <x/>
    </i>
  </colItems>
  <dataFields count="1">
    <dataField name="COUNTA of datapoint"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 tables 3" cacheId="1317" applyNumberFormats="0" applyBorderFormats="0" applyFontFormats="0" applyPatternFormats="0" applyAlignmentFormats="0" applyWidthHeightFormats="0" dataCaption="" updatedVersion="8" compact="0" compactData="0">
  <location ref="A10:D19" firstHeaderRow="1" firstDataRow="2" firstDataCol="1"/>
  <pivotFields count="21">
    <pivotField name="datapoint" dataField="1" compact="0" outline="0" multipleItemSelectionAllowed="1" showAll="0"/>
    <pivotField name="label" compact="0" outline="0" multipleItemSelectionAllowed="1" showAll="0"/>
    <pivotField name="extracted_value" compact="0" outline="0" multipleItemSelectionAllowed="1" showAll="0"/>
    <pivotField name="confidence" compact="0" outline="0" multipleItemSelectionAllowed="1" showAll="0"/>
    <pivotField name="expected_data_type" compact="0" outline="0" multipleItemSelectionAllowed="1" showAll="0"/>
    <pivotField name="source_reference" compact="0" outline="0" multipleItemSelectionAllowed="1" showAll="0"/>
    <pivotField name="document_source" compact="0" outline="0" multipleItemSelectionAllowed="1" showAll="0"/>
    <pivotField name="document_category" axis="axisRow" compact="0" outline="0" multipleItemSelectionAllowed="1" showAll="0" sortType="ascending">
      <items count="8">
        <item x="1"/>
        <item x="6"/>
        <item x="3"/>
        <item x="5"/>
        <item x="2"/>
        <item x="0"/>
        <item x="4"/>
        <item t="default"/>
      </items>
    </pivotField>
    <pivotField name="risk_oracle_name" compact="0" outline="0" multipleItemSelectionAllowed="1" showAll="0"/>
    <pivotField name="risk_oracle_category" compact="0" outline="0" multipleItemSelectionAllowed="1" showAll="0"/>
    <pivotField name="dimensions" compact="0" outline="0" multipleItemSelectionAllowed="1" showAll="0"/>
    <pivotField name="notes" compact="0" outline="0" multipleItemSelectionAllowed="1" showAll="0"/>
    <pivotField name="pec_answer" compact="0" outline="0" multipleItemSelectionAllowed="1" showAll="0"/>
    <pivotField name="chunks_retrieved" compact="0" outline="0" multipleItemSelectionAllowed="1" showAll="0"/>
    <pivotField name="extracted_at" compact="0" outline="0" multipleItemSelectionAllowed="1" showAll="0"/>
    <pivotField name="match_status" compact="0" outline="0" multipleItemSelectionAllowed="1" showAll="0"/>
    <pivotField name="accuracy_score" compact="0" outline="0" multipleItemSelectionAllowed="1" showAll="0"/>
    <pivotField name="extraction_success" axis="axisCol" compact="0" outline="0" multipleItemSelectionAllowed="1" showAll="0" sortType="ascending">
      <items count="3">
        <item x="1"/>
        <item x="0"/>
        <item t="default"/>
      </items>
    </pivotField>
    <pivotField name="type_valid" compact="0" outline="0" multipleItemSelectionAllowed="1" showAll="0"/>
    <pivotField name="comparison_explanation" compact="0" outline="0" multipleItemSelectionAllowed="1" showAll="0"/>
    <pivotField name="has_source_reference" compact="0" outline="0" multipleItemSelectionAllowed="1" showAll="0"/>
  </pivotFields>
  <rowFields count="1">
    <field x="7"/>
  </rowFields>
  <rowItems count="8">
    <i>
      <x/>
    </i>
    <i>
      <x v="1"/>
    </i>
    <i>
      <x v="2"/>
    </i>
    <i>
      <x v="3"/>
    </i>
    <i>
      <x v="4"/>
    </i>
    <i>
      <x v="5"/>
    </i>
    <i>
      <x v="6"/>
    </i>
    <i t="grand">
      <x/>
    </i>
  </rowItems>
  <colFields count="1">
    <field x="17"/>
  </colFields>
  <colItems count="3">
    <i>
      <x/>
    </i>
    <i>
      <x v="1"/>
    </i>
    <i t="grand">
      <x/>
    </i>
  </colItems>
  <dataFields count="1">
    <dataField name="COUNTA of datapoint"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 tables 8" cacheId="1309" applyNumberFormats="0" applyBorderFormats="0" applyFontFormats="0" applyPatternFormats="0" applyAlignmentFormats="0" applyWidthHeightFormats="0" dataCaption="" updatedVersion="8" compact="0" compactData="0">
  <location ref="A33:B43" firstHeaderRow="1" firstDataRow="1" firstDataCol="1" rowPageCount="2" colPageCount="1"/>
  <pivotFields count="25">
    <pivotField name="Datapoint" dataField="1" compact="0" outline="0" multipleItemSelectionAllowed="1" showAll="0"/>
    <pivotField name="Entity / Breakdown Key" compact="0" outline="0" multipleItemSelectionAllowed="1" showAll="0"/>
    <pivotField name="Primitive / Derived" compact="0" outline="0" multipleItemSelectionAllowed="1" showAll="0"/>
    <pivotField name="Risk Criticality" compact="0" outline="0" multipleItemSelectionAllowed="1" showAll="0"/>
    <pivotField name="Expected Value" compact="0" outline="0" multipleItemSelectionAllowed="1" showAll="0"/>
    <pivotField name="Expected Count" compact="0" outline="0" multipleItemSelectionAllowed="1" showAll="0"/>
    <pivotField name="Extracted Value" compact="0" outline="0" multipleItemSelectionAllowed="1" showAll="0"/>
    <pivotField name="Extracted Count" compact="0" outline="0" multipleItemSelectionAllowed="1" showAll="0"/>
    <pivotField name="Extraction Status" compact="0" outline="0" multipleItemSelectionAllowed="1" showAll="0"/>
    <pivotField name="Value Match" axis="axisPage" compact="0" outline="0" multipleItemSelectionAllowed="1" showAll="0">
      <items count="9">
        <item x="0"/>
        <item h="1" x="1"/>
        <item h="1" x="2"/>
        <item h="1" x="3"/>
        <item h="1" x="4"/>
        <item x="5"/>
        <item x="6"/>
        <item h="1" x="7"/>
        <item t="default"/>
      </items>
    </pivotField>
    <pivotField name="Count Match" compact="0" outline="0" multipleItemSelectionAllowed="1" showAll="0"/>
    <pivotField name="Expected Source Document" compact="0" outline="0" multipleItemSelectionAllowed="1" showAll="0"/>
    <pivotField name="Retrieved Document" compact="0" outline="0" multipleItemSelectionAllowed="1" showAll="0"/>
    <pivotField name="Document Match" compact="0" outline="0" multipleItemSelectionAllowed="1" showAll="0"/>
    <pivotField name="Expected Category" compact="0" outline="0" multipleItemSelectionAllowed="1" showAll="0"/>
    <pivotField name="Retrieved Category" compact="0" outline="0" multipleItemSelectionAllowed="1" showAll="0"/>
    <pivotField name="Category Match" compact="0" outline="0" multipleItemSelectionAllowed="1" showAll="0"/>
    <pivotField name="Evidence Present in Chunk" compact="0" outline="0" multipleItemSelectionAllowed="1" showAll="0"/>
    <pivotField name="Primary Error Category" axis="axisRow" compact="0" outline="0" multipleItemSelectionAllowed="1" showAll="0" sortType="ascending">
      <items count="50">
        <item x="31"/>
        <item x="15"/>
        <item x="23"/>
        <item x="33"/>
        <item x="18"/>
        <item x="40"/>
        <item x="16"/>
        <item x="10"/>
        <item x="26"/>
        <item x="19"/>
        <item x="4"/>
        <item x="39"/>
        <item x="29"/>
        <item x="48"/>
        <item x="46"/>
        <item x="35"/>
        <item x="0"/>
        <item x="17"/>
        <item x="20"/>
        <item x="38"/>
        <item x="28"/>
        <item x="21"/>
        <item x="30"/>
        <item x="22"/>
        <item x="7"/>
        <item x="37"/>
        <item x="5"/>
        <item x="13"/>
        <item x="2"/>
        <item x="43"/>
        <item x="12"/>
        <item x="9"/>
        <item x="1"/>
        <item x="6"/>
        <item x="8"/>
        <item x="24"/>
        <item x="14"/>
        <item x="45"/>
        <item x="36"/>
        <item x="27"/>
        <item x="25"/>
        <item x="47"/>
        <item x="44"/>
        <item x="32"/>
        <item x="3"/>
        <item x="11"/>
        <item x="41"/>
        <item x="34"/>
        <item x="42"/>
        <item t="default"/>
      </items>
    </pivotField>
    <pivotField name="RAG Layer Affected" compact="0" outline="0" multipleItemSelectionAllowed="1" showAll="0"/>
    <pivotField name="RAG Layer Group" axis="axisPage" compact="0" outline="0" multipleItemSelectionAllowed="1" showAll="0">
      <items count="6">
        <item h="1" x="0"/>
        <item h="1" x="1"/>
        <item x="2"/>
        <item h="1" x="3"/>
        <item h="1" x="4"/>
        <item t="default"/>
      </items>
    </pivotField>
    <pivotField name="Root Cause Hypothesis" compact="0" outline="0" multipleItemSelectionAllowed="1" showAll="0"/>
    <pivotField name="Severity" compact="0" outline="0" multipleItemSelectionAllowed="1" showAll="0"/>
    <pivotField name="Fix Priority" compact="0" outline="0" multipleItemSelectionAllowed="1" showAll="0"/>
    <pivotField name="Notes" compact="0" outline="0" multipleItemSelectionAllowed="1" showAll="0"/>
  </pivotFields>
  <rowFields count="1">
    <field x="18"/>
  </rowFields>
  <rowItems count="10">
    <i>
      <x v="10"/>
    </i>
    <i>
      <x v="17"/>
    </i>
    <i>
      <x v="22"/>
    </i>
    <i>
      <x v="30"/>
    </i>
    <i>
      <x v="31"/>
    </i>
    <i>
      <x v="44"/>
    </i>
    <i>
      <x v="46"/>
    </i>
    <i>
      <x v="47"/>
    </i>
    <i>
      <x v="48"/>
    </i>
    <i t="grand">
      <x/>
    </i>
  </rowItems>
  <colItems count="1">
    <i/>
  </colItems>
  <pageFields count="2">
    <pageField fld="20" hier="0"/>
    <pageField fld="9" hier="0"/>
  </pageFields>
  <dataFields count="1">
    <dataField name="COUNTA of Datapoint" fld="0" subtotal="count" showDataAs="percentOfCo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 tables 4" cacheId="1317" applyNumberFormats="0" applyBorderFormats="0" applyFontFormats="0" applyPatternFormats="0" applyAlignmentFormats="0" applyWidthHeightFormats="0" dataCaption="" updatedVersion="8" compact="0" compactData="0">
  <location ref="G10:J19" firstHeaderRow="1" firstDataRow="2" firstDataCol="1"/>
  <pivotFields count="21">
    <pivotField name="datapoint" dataField="1" compact="0" outline="0" multipleItemSelectionAllowed="1" showAll="0"/>
    <pivotField name="label" compact="0" outline="0" multipleItemSelectionAllowed="1" showAll="0"/>
    <pivotField name="extracted_value" compact="0" outline="0" multipleItemSelectionAllowed="1" showAll="0"/>
    <pivotField name="confidence" compact="0" outline="0" multipleItemSelectionAllowed="1" showAll="0"/>
    <pivotField name="expected_data_type" compact="0" outline="0" multipleItemSelectionAllowed="1" showAll="0"/>
    <pivotField name="source_reference" compact="0" outline="0" multipleItemSelectionAllowed="1" showAll="0"/>
    <pivotField name="document_source" compact="0" outline="0" multipleItemSelectionAllowed="1" showAll="0"/>
    <pivotField name="document_category" compact="0" outline="0" multipleItemSelectionAllowed="1" showAll="0"/>
    <pivotField name="risk_oracle_name" compact="0" outline="0" multipleItemSelectionAllowed="1" showAll="0"/>
    <pivotField name="risk_oracle_category" axis="axisRow" compact="0" outline="0" multipleItemSelectionAllowed="1" showAll="0" sortType="ascending">
      <items count="8">
        <item x="1"/>
        <item x="0"/>
        <item x="3"/>
        <item x="4"/>
        <item x="6"/>
        <item x="5"/>
        <item x="2"/>
        <item t="default"/>
      </items>
    </pivotField>
    <pivotField name="dimensions" compact="0" outline="0" multipleItemSelectionAllowed="1" showAll="0"/>
    <pivotField name="notes" compact="0" outline="0" multipleItemSelectionAllowed="1" showAll="0"/>
    <pivotField name="pec_answer" compact="0" outline="0" multipleItemSelectionAllowed="1" showAll="0"/>
    <pivotField name="chunks_retrieved" compact="0" outline="0" multipleItemSelectionAllowed="1" showAll="0"/>
    <pivotField name="extracted_at" compact="0" outline="0" multipleItemSelectionAllowed="1" showAll="0"/>
    <pivotField name="match_status" compact="0" outline="0" multipleItemSelectionAllowed="1" showAll="0"/>
    <pivotField name="accuracy_score" compact="0" outline="0" multipleItemSelectionAllowed="1" showAll="0"/>
    <pivotField name="extraction_success" axis="axisCol" compact="0" outline="0" multipleItemSelectionAllowed="1" showAll="0" sortType="ascending">
      <items count="3">
        <item x="1"/>
        <item x="0"/>
        <item t="default"/>
      </items>
    </pivotField>
    <pivotField name="type_valid" compact="0" outline="0" multipleItemSelectionAllowed="1" showAll="0"/>
    <pivotField name="comparison_explanation" compact="0" outline="0" multipleItemSelectionAllowed="1" showAll="0"/>
    <pivotField name="has_source_reference" compact="0" outline="0" multipleItemSelectionAllowed="1" showAll="0"/>
  </pivotFields>
  <rowFields count="1">
    <field x="9"/>
  </rowFields>
  <rowItems count="8">
    <i>
      <x/>
    </i>
    <i>
      <x v="1"/>
    </i>
    <i>
      <x v="2"/>
    </i>
    <i>
      <x v="3"/>
    </i>
    <i>
      <x v="4"/>
    </i>
    <i>
      <x v="5"/>
    </i>
    <i>
      <x v="6"/>
    </i>
    <i t="grand">
      <x/>
    </i>
  </rowItems>
  <colFields count="1">
    <field x="17"/>
  </colFields>
  <colItems count="3">
    <i>
      <x/>
    </i>
    <i>
      <x v="1"/>
    </i>
    <i t="grand">
      <x/>
    </i>
  </colItems>
  <dataFields count="1">
    <dataField name="COUNTA of datapoint"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 tables 5" cacheId="1317" applyNumberFormats="0" applyBorderFormats="0" applyFontFormats="0" applyPatternFormats="0" applyAlignmentFormats="0" applyWidthHeightFormats="0" dataCaption="" updatedVersion="8" colGrandTotals="0" compact="0" compactData="0">
  <location ref="G21:M30" firstHeaderRow="1" firstDataRow="2" firstDataCol="1"/>
  <pivotFields count="21">
    <pivotField name="datapoint" dataField="1" compact="0" outline="0" multipleItemSelectionAllowed="1" showAll="0"/>
    <pivotField name="label" compact="0" outline="0" multipleItemSelectionAllowed="1" showAll="0"/>
    <pivotField name="extracted_value" compact="0" outline="0" multipleItemSelectionAllowed="1" showAll="0"/>
    <pivotField name="confidence" compact="0" outline="0" multipleItemSelectionAllowed="1" showAll="0"/>
    <pivotField name="expected_data_type" compact="0" outline="0" multipleItemSelectionAllowed="1" showAll="0"/>
    <pivotField name="source_reference" compact="0" outline="0" multipleItemSelectionAllowed="1" showAll="0"/>
    <pivotField name="document_source" compact="0" outline="0" multipleItemSelectionAllowed="1" showAll="0"/>
    <pivotField name="document_category" compact="0" outline="0" multipleItemSelectionAllowed="1" showAll="0"/>
    <pivotField name="risk_oracle_name" compact="0" outline="0" multipleItemSelectionAllowed="1" showAll="0"/>
    <pivotField name="risk_oracle_category" axis="axisRow" compact="0" outline="0" multipleItemSelectionAllowed="1" showAll="0" sortType="ascending">
      <items count="8">
        <item x="1"/>
        <item x="0"/>
        <item x="3"/>
        <item x="4"/>
        <item x="6"/>
        <item x="5"/>
        <item x="2"/>
        <item t="default"/>
      </items>
    </pivotField>
    <pivotField name="dimensions" compact="0" outline="0" multipleItemSelectionAllowed="1" showAll="0"/>
    <pivotField name="notes" compact="0" outline="0" multipleItemSelectionAllowed="1" showAll="0"/>
    <pivotField name="pec_answer" compact="0" outline="0" multipleItemSelectionAllowed="1" showAll="0"/>
    <pivotField name="chunks_retrieved" compact="0" outline="0" multipleItemSelectionAllowed="1" showAll="0"/>
    <pivotField name="extracted_at" compact="0" outline="0" multipleItemSelectionAllowed="1" showAll="0"/>
    <pivotField name="match_status" axis="axisCol" compact="0" outline="0" multipleItemSelectionAllowed="1" showAll="0" sortType="ascending">
      <items count="7">
        <item x="4"/>
        <item x="2"/>
        <item x="3"/>
        <item x="1"/>
        <item x="5"/>
        <item x="0"/>
        <item t="default"/>
      </items>
    </pivotField>
    <pivotField name="accuracy_score" compact="0" outline="0" multipleItemSelectionAllowed="1" showAll="0"/>
    <pivotField name="extraction_success" compact="0" outline="0" multipleItemSelectionAllowed="1" showAll="0"/>
    <pivotField name="type_valid" compact="0" outline="0" multipleItemSelectionAllowed="1" showAll="0"/>
    <pivotField name="comparison_explanation" compact="0" outline="0" multipleItemSelectionAllowed="1" showAll="0"/>
    <pivotField name="has_source_reference" compact="0" outline="0" multipleItemSelectionAllowed="1" showAll="0"/>
  </pivotFields>
  <rowFields count="1">
    <field x="9"/>
  </rowFields>
  <rowItems count="8">
    <i>
      <x/>
    </i>
    <i>
      <x v="1"/>
    </i>
    <i>
      <x v="2"/>
    </i>
    <i>
      <x v="3"/>
    </i>
    <i>
      <x v="4"/>
    </i>
    <i>
      <x v="5"/>
    </i>
    <i>
      <x v="6"/>
    </i>
    <i t="grand">
      <x/>
    </i>
  </rowItems>
  <colFields count="1">
    <field x="15"/>
  </colFields>
  <colItems count="6">
    <i>
      <x/>
    </i>
    <i>
      <x v="1"/>
    </i>
    <i>
      <x v="2"/>
    </i>
    <i>
      <x v="3"/>
    </i>
    <i>
      <x v="4"/>
    </i>
    <i>
      <x v="5"/>
    </i>
  </colItems>
  <dataFields count="1">
    <dataField name="COUNTA of datapoint" fld="0" subtotal="count" showDataAs="percentOfRow"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 tables 6" cacheId="1309" applyNumberFormats="0" applyBorderFormats="0" applyFontFormats="0" applyPatternFormats="0" applyAlignmentFormats="0" applyWidthHeightFormats="0" dataCaption="" updatedVersion="8" compact="0" compactData="0">
  <location ref="A22:B28" firstHeaderRow="1" firstDataRow="1" firstDataCol="1" rowPageCount="1" colPageCount="1"/>
  <pivotFields count="25">
    <pivotField name="Datapoint" dataField="1" compact="0" outline="0" multipleItemSelectionAllowed="1" showAll="0"/>
    <pivotField name="Entity / Breakdown Key" compact="0" outline="0" multipleItemSelectionAllowed="1" showAll="0"/>
    <pivotField name="Primitive / Derived" compact="0" outline="0" multipleItemSelectionAllowed="1" showAll="0"/>
    <pivotField name="Risk Criticality" compact="0" outline="0" multipleItemSelectionAllowed="1" showAll="0"/>
    <pivotField name="Expected Value" compact="0" outline="0" multipleItemSelectionAllowed="1" showAll="0"/>
    <pivotField name="Expected Count" compact="0" outline="0" multipleItemSelectionAllowed="1" showAll="0"/>
    <pivotField name="Extracted Value" compact="0" outline="0" multipleItemSelectionAllowed="1" showAll="0"/>
    <pivotField name="Extracted Count" compact="0" outline="0" multipleItemSelectionAllowed="1" showAll="0"/>
    <pivotField name="Extraction Status" compact="0" outline="0" multipleItemSelectionAllowed="1" showAll="0"/>
    <pivotField name="Value Match" axis="axisPage" compact="0" outline="0" multipleItemSelectionAllowed="1" showAll="0">
      <items count="9">
        <item x="0"/>
        <item h="1" x="1"/>
        <item h="1" x="2"/>
        <item h="1" x="3"/>
        <item h="1" x="4"/>
        <item x="5"/>
        <item x="6"/>
        <item h="1" x="7"/>
        <item t="default"/>
      </items>
    </pivotField>
    <pivotField name="Count Match" compact="0" outline="0" multipleItemSelectionAllowed="1" showAll="0"/>
    <pivotField name="Expected Source Document" compact="0" outline="0" multipleItemSelectionAllowed="1" showAll="0"/>
    <pivotField name="Retrieved Document" compact="0" outline="0" multipleItemSelectionAllowed="1" showAll="0"/>
    <pivotField name="Document Match" compact="0" outline="0" multipleItemSelectionAllowed="1" showAll="0"/>
    <pivotField name="Expected Category" compact="0" outline="0" multipleItemSelectionAllowed="1" showAll="0"/>
    <pivotField name="Retrieved Category" compact="0" outline="0" multipleItemSelectionAllowed="1" showAll="0"/>
    <pivotField name="Category Match" compact="0" outline="0" multipleItemSelectionAllowed="1" showAll="0"/>
    <pivotField name="Evidence Present in Chunk" compact="0" outline="0" multipleItemSelectionAllowed="1" showAll="0"/>
    <pivotField name="Primary Error Category" compact="0" outline="0" multipleItemSelectionAllowed="1" showAll="0"/>
    <pivotField name="RAG Layer Affected" compact="0" outline="0" multipleItemSelectionAllowed="1" showAll="0"/>
    <pivotField name="RAG Layer Group" axis="axisRow" compact="0" outline="0" multipleItemSelectionAllowed="1" showAll="0" sortType="ascending">
      <items count="6">
        <item x="3"/>
        <item x="0"/>
        <item x="4"/>
        <item x="1"/>
        <item x="2"/>
        <item t="default"/>
      </items>
    </pivotField>
    <pivotField name="Root Cause Hypothesis" compact="0" outline="0" multipleItemSelectionAllowed="1" showAll="0"/>
    <pivotField name="Severity" compact="0" outline="0" multipleItemSelectionAllowed="1" showAll="0"/>
    <pivotField name="Fix Priority" compact="0" outline="0" multipleItemSelectionAllowed="1" showAll="0"/>
    <pivotField name="Notes" compact="0" outline="0" multipleItemSelectionAllowed="1" showAll="0"/>
  </pivotFields>
  <rowFields count="1">
    <field x="20"/>
  </rowFields>
  <rowItems count="6">
    <i>
      <x/>
    </i>
    <i>
      <x v="1"/>
    </i>
    <i>
      <x v="2"/>
    </i>
    <i>
      <x v="3"/>
    </i>
    <i>
      <x v="4"/>
    </i>
    <i t="grand">
      <x/>
    </i>
  </rowItems>
  <colItems count="1">
    <i/>
  </colItems>
  <pageFields count="1">
    <pageField fld="9" hier="0"/>
  </pageFields>
  <dataFields count="1">
    <dataField name="COUNTA of Datapoint" fld="0" subtotal="count" showDataAs="percentOfCo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 tables" cacheId="1317" applyNumberFormats="0" applyBorderFormats="0" applyFontFormats="0" applyPatternFormats="0" applyAlignmentFormats="0" applyWidthHeightFormats="0" dataCaption="" updatedVersion="8" compact="0" compactData="0">
  <location ref="A1:B8" firstHeaderRow="1" firstDataRow="1" firstDataCol="1"/>
  <pivotFields count="21">
    <pivotField name="datapoint" dataField="1" compact="0" outline="0" multipleItemSelectionAllowed="1" showAll="0"/>
    <pivotField name="label" compact="0" outline="0" multipleItemSelectionAllowed="1" showAll="0"/>
    <pivotField name="extracted_value" compact="0" outline="0" multipleItemSelectionAllowed="1" showAll="0"/>
    <pivotField name="confidence" compact="0" outline="0" multipleItemSelectionAllowed="1" showAll="0"/>
    <pivotField name="expected_data_type" compact="0" outline="0" multipleItemSelectionAllowed="1" showAll="0"/>
    <pivotField name="source_reference" compact="0" outline="0" multipleItemSelectionAllowed="1" showAll="0"/>
    <pivotField name="document_source" compact="0" outline="0" multipleItemSelectionAllowed="1" showAll="0"/>
    <pivotField name="document_category" compact="0" outline="0" multipleItemSelectionAllowed="1" showAll="0"/>
    <pivotField name="risk_oracle_name" compact="0" outline="0" multipleItemSelectionAllowed="1" showAll="0"/>
    <pivotField name="risk_oracle_category" compact="0" outline="0" multipleItemSelectionAllowed="1" showAll="0"/>
    <pivotField name="dimensions" compact="0" outline="0" multipleItemSelectionAllowed="1" showAll="0"/>
    <pivotField name="notes" compact="0" outline="0" multipleItemSelectionAllowed="1" showAll="0"/>
    <pivotField name="pec_answer" compact="0" outline="0" multipleItemSelectionAllowed="1" showAll="0"/>
    <pivotField name="chunks_retrieved" compact="0" outline="0" multipleItemSelectionAllowed="1" showAll="0"/>
    <pivotField name="extracted_at" compact="0" outline="0" multipleItemSelectionAllowed="1" showAll="0"/>
    <pivotField name="match_status" axis="axisRow" compact="0" outline="0" multipleItemSelectionAllowed="1" showAll="0" sortType="ascending">
      <items count="7">
        <item x="4"/>
        <item x="2"/>
        <item x="3"/>
        <item x="1"/>
        <item x="5"/>
        <item x="0"/>
        <item t="default"/>
      </items>
    </pivotField>
    <pivotField name="accuracy_score" compact="0" outline="0" multipleItemSelectionAllowed="1" showAll="0"/>
    <pivotField name="extraction_success" compact="0" outline="0" multipleItemSelectionAllowed="1" showAll="0"/>
    <pivotField name="type_valid" compact="0" outline="0" multipleItemSelectionAllowed="1" showAll="0"/>
    <pivotField name="comparison_explanation" compact="0" outline="0" multipleItemSelectionAllowed="1" showAll="0"/>
    <pivotField name="has_source_reference" compact="0" outline="0" multipleItemSelectionAllowed="1" showAll="0"/>
  </pivotFields>
  <rowFields count="1">
    <field x="15"/>
  </rowFields>
  <rowItems count="7">
    <i>
      <x/>
    </i>
    <i>
      <x v="1"/>
    </i>
    <i>
      <x v="2"/>
    </i>
    <i>
      <x v="3"/>
    </i>
    <i>
      <x v="4"/>
    </i>
    <i>
      <x v="5"/>
    </i>
    <i t="grand">
      <x/>
    </i>
  </rowItems>
  <colItems count="1">
    <i/>
  </colItems>
  <dataFields count="1">
    <dataField name="COUNTA of datapoint"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 tables 7" cacheId="1309" applyNumberFormats="0" applyBorderFormats="0" applyFontFormats="0" applyPatternFormats="0" applyAlignmentFormats="0" applyWidthHeightFormats="0" dataCaption="" updatedVersion="8" compact="0" compactData="0">
  <location ref="D22:E30" firstHeaderRow="1" firstDataRow="1" firstDataCol="1"/>
  <pivotFields count="25">
    <pivotField name="Datapoint" dataField="1" compact="0" outline="0" multipleItemSelectionAllowed="1" showAll="0"/>
    <pivotField name="Entity / Breakdown Key" compact="0" outline="0" multipleItemSelectionAllowed="1" showAll="0"/>
    <pivotField name="Primitive / Derived" compact="0" outline="0" multipleItemSelectionAllowed="1" showAll="0"/>
    <pivotField name="Risk Criticality" compact="0" outline="0" multipleItemSelectionAllowed="1" showAll="0"/>
    <pivotField name="Expected Value" compact="0" outline="0" multipleItemSelectionAllowed="1" showAll="0"/>
    <pivotField name="Expected Count" compact="0" outline="0" multipleItemSelectionAllowed="1" showAll="0"/>
    <pivotField name="Extracted Value" compact="0" outline="0" multipleItemSelectionAllowed="1" showAll="0"/>
    <pivotField name="Extracted Count" compact="0" outline="0" multipleItemSelectionAllowed="1" showAll="0"/>
    <pivotField name="Extraction Status" compact="0" outline="0" multipleItemSelectionAllowed="1" showAll="0"/>
    <pivotField name="Value Match" compact="0" outline="0" multipleItemSelectionAllowed="1" showAll="0"/>
    <pivotField name="Count Match" compact="0" outline="0" multipleItemSelectionAllowed="1" showAll="0"/>
    <pivotField name="Expected Source Document" compact="0" outline="0" multipleItemSelectionAllowed="1" showAll="0"/>
    <pivotField name="Retrieved Document" compact="0" outline="0" multipleItemSelectionAllowed="1" showAll="0"/>
    <pivotField name="Document Match" compact="0" outline="0" multipleItemSelectionAllowed="1" showAll="0"/>
    <pivotField name="Expected Category" compact="0" outline="0" multipleItemSelectionAllowed="1" showAll="0"/>
    <pivotField name="Retrieved Category" compact="0" outline="0" multipleItemSelectionAllowed="1" showAll="0"/>
    <pivotField name="Category Match" compact="0" outline="0" multipleItemSelectionAllowed="1" showAll="0"/>
    <pivotField name="Evidence Present in Chunk" compact="0" outline="0" multipleItemSelectionAllowed="1" showAll="0"/>
    <pivotField name="Primary Error Category" compact="0" outline="0" multipleItemSelectionAllowed="1" showAll="0"/>
    <pivotField name="RAG Layer Affected" compact="0" outline="0" multipleItemSelectionAllowed="1" showAll="0"/>
    <pivotField name="RAG Layer Group" compact="0" outline="0" multipleItemSelectionAllowed="1" showAll="0"/>
    <pivotField name="Root Cause Hypothesis" compact="0" outline="0" multipleItemSelectionAllowed="1" showAll="0"/>
    <pivotField name="CRITICAL" axis="axisRow" compact="0" outline="0" multipleItemSelectionAllowed="1" showAll="0" sortType="ascending">
      <items count="8">
        <item x="6"/>
        <item x="3"/>
        <item x="4"/>
        <item x="1"/>
        <item x="0"/>
        <item x="2"/>
        <item x="5"/>
        <item t="default"/>
      </items>
    </pivotField>
    <pivotField name="Fix Priority" compact="0" outline="0" multipleItemSelectionAllowed="1" showAll="0"/>
    <pivotField name="Notes" compact="0" outline="0" multipleItemSelectionAllowed="1" showAll="0"/>
  </pivotFields>
  <rowFields count="1">
    <field x="22"/>
  </rowFields>
  <rowItems count="8">
    <i>
      <x/>
    </i>
    <i>
      <x v="1"/>
    </i>
    <i>
      <x v="2"/>
    </i>
    <i>
      <x v="3"/>
    </i>
    <i>
      <x v="4"/>
    </i>
    <i>
      <x v="5"/>
    </i>
    <i>
      <x v="6"/>
    </i>
    <i t="grand">
      <x/>
    </i>
  </rowItems>
  <colItems count="1">
    <i/>
  </colItems>
  <dataFields count="1">
    <dataField name="COUNTA of Datapoint" fld="0" subtotal="count" showDataAs="percentOfCo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U93">
  <autoFilter ref="A1:U93" xr:uid="{00000000-0009-0000-0100-000001000000}"/>
  <tableColumns count="21">
    <tableColumn id="1" xr3:uid="{00000000-0010-0000-0000-000001000000}" name="datapoint"/>
    <tableColumn id="2" xr3:uid="{00000000-0010-0000-0000-000002000000}" name="label"/>
    <tableColumn id="3" xr3:uid="{00000000-0010-0000-0000-000003000000}" name="extracted_value"/>
    <tableColumn id="4" xr3:uid="{00000000-0010-0000-0000-000004000000}" name="confidence"/>
    <tableColumn id="5" xr3:uid="{00000000-0010-0000-0000-000005000000}" name="expected_data_type"/>
    <tableColumn id="6" xr3:uid="{00000000-0010-0000-0000-000006000000}" name="source_reference"/>
    <tableColumn id="7" xr3:uid="{00000000-0010-0000-0000-000007000000}" name="document_source"/>
    <tableColumn id="8" xr3:uid="{00000000-0010-0000-0000-000008000000}" name="document_category"/>
    <tableColumn id="9" xr3:uid="{00000000-0010-0000-0000-000009000000}" name="risk_oracle_name"/>
    <tableColumn id="10" xr3:uid="{00000000-0010-0000-0000-00000A000000}" name="risk_oracle_category"/>
    <tableColumn id="11" xr3:uid="{00000000-0010-0000-0000-00000B000000}" name="dimensions"/>
    <tableColumn id="12" xr3:uid="{00000000-0010-0000-0000-00000C000000}" name="notes"/>
    <tableColumn id="13" xr3:uid="{00000000-0010-0000-0000-00000D000000}" name="pec_answer"/>
    <tableColumn id="14" xr3:uid="{00000000-0010-0000-0000-00000E000000}" name="chunks_retrieved"/>
    <tableColumn id="15" xr3:uid="{00000000-0010-0000-0000-00000F000000}" name="extracted_at"/>
    <tableColumn id="16" xr3:uid="{00000000-0010-0000-0000-000010000000}" name="match_status"/>
    <tableColumn id="17" xr3:uid="{00000000-0010-0000-0000-000011000000}" name="accuracy_score"/>
    <tableColumn id="18" xr3:uid="{00000000-0010-0000-0000-000012000000}" name="extraction_success"/>
    <tableColumn id="19" xr3:uid="{00000000-0010-0000-0000-000013000000}" name="type_valid"/>
    <tableColumn id="20" xr3:uid="{00000000-0010-0000-0000-000014000000}" name="comparison_explanation"/>
    <tableColumn id="21" xr3:uid="{00000000-0010-0000-0000-000015000000}" name="has_source_reference"/>
  </tableColumns>
  <tableStyleInfo name="outpu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4" displayName="Table4" ref="A1:Y93">
  <tableColumns count="25">
    <tableColumn id="1" xr3:uid="{00000000-0010-0000-0100-000001000000}" name="Datapoint"/>
    <tableColumn id="2" xr3:uid="{00000000-0010-0000-0100-000002000000}" name="Entity / Breakdown Key"/>
    <tableColumn id="3" xr3:uid="{00000000-0010-0000-0100-000003000000}" name="Primitive / Derived"/>
    <tableColumn id="4" xr3:uid="{00000000-0010-0000-0100-000004000000}" name="Risk Criticality"/>
    <tableColumn id="5" xr3:uid="{00000000-0010-0000-0100-000005000000}" name="Expected Value"/>
    <tableColumn id="6" xr3:uid="{00000000-0010-0000-0100-000006000000}" name="Expected Count"/>
    <tableColumn id="7" xr3:uid="{00000000-0010-0000-0100-000007000000}" name="Extracted Value"/>
    <tableColumn id="8" xr3:uid="{00000000-0010-0000-0100-000008000000}" name="Extracted Count"/>
    <tableColumn id="9" xr3:uid="{00000000-0010-0000-0100-000009000000}" name="Extraction Status"/>
    <tableColumn id="10" xr3:uid="{00000000-0010-0000-0100-00000A000000}" name="Value Match"/>
    <tableColumn id="11" xr3:uid="{00000000-0010-0000-0100-00000B000000}" name="Count Match"/>
    <tableColumn id="12" xr3:uid="{00000000-0010-0000-0100-00000C000000}" name="Expected Source Document"/>
    <tableColumn id="13" xr3:uid="{00000000-0010-0000-0100-00000D000000}" name="Retrieved Document"/>
    <tableColumn id="14" xr3:uid="{00000000-0010-0000-0100-00000E000000}" name="Document Match"/>
    <tableColumn id="15" xr3:uid="{00000000-0010-0000-0100-00000F000000}" name="Expected Category"/>
    <tableColumn id="16" xr3:uid="{00000000-0010-0000-0100-000010000000}" name="Retrieved Category"/>
    <tableColumn id="17" xr3:uid="{00000000-0010-0000-0100-000011000000}" name="Category Match"/>
    <tableColumn id="18" xr3:uid="{00000000-0010-0000-0100-000012000000}" name="Evidence Present in Chunk"/>
    <tableColumn id="19" xr3:uid="{00000000-0010-0000-0100-000013000000}" name="Primary Error Category"/>
    <tableColumn id="20" xr3:uid="{00000000-0010-0000-0100-000014000000}" name="RAG Layer Affected"/>
    <tableColumn id="21" xr3:uid="{00000000-0010-0000-0100-000015000000}" name="RAG Layer Group"/>
    <tableColumn id="22" xr3:uid="{00000000-0010-0000-0100-000016000000}" name="Root Cause Hypothesis"/>
    <tableColumn id="23" xr3:uid="{00000000-0010-0000-0100-000017000000}" name="Severity"/>
    <tableColumn id="24" xr3:uid="{00000000-0010-0000-0100-000018000000}" name="Fix Priority"/>
    <tableColumn id="25" xr3:uid="{00000000-0010-0000-0100-000019000000}" name="Notes"/>
  </tableColumns>
  <tableStyleInfo name="Updated Manual Check-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K55">
  <tableColumns count="11">
    <tableColumn id="1" xr3:uid="{00000000-0010-0000-0200-000001000000}" name="datapoint"/>
    <tableColumn id="2" xr3:uid="{00000000-0010-0000-0200-000002000000}" name="Primitive/Derived"/>
    <tableColumn id="3" xr3:uid="{00000000-0010-0000-0200-000003000000}" name="Expected Count"/>
    <tableColumn id="4" xr3:uid="{00000000-0010-0000-0200-000004000000}" name="Extracted Count"/>
    <tableColumn id="5" xr3:uid="{00000000-0010-0000-0200-000005000000}" name="Extraction Status"/>
    <tableColumn id="6" xr3:uid="{00000000-0010-0000-0200-000006000000}" name="Completeness"/>
    <tableColumn id="7" xr3:uid="{00000000-0010-0000-0200-000007000000}" name="Accuracy Status"/>
    <tableColumn id="8" xr3:uid="{00000000-0010-0000-0200-000008000000}" name="Error Type"/>
    <tableColumn id="9" xr3:uid="{00000000-0010-0000-0200-000009000000}" name="Root Cause Hypothesis"/>
    <tableColumn id="10" xr3:uid="{00000000-0010-0000-0200-00000A000000}" name="Severity"/>
    <tableColumn id="11" xr3:uid="{00000000-0010-0000-0200-00000B000000}" name="Notes"/>
  </tableColumns>
  <tableStyleInfo name="DEPRECATED Manual Check For Ou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T44" dT="2026-03-04T03:52:19.00" personId="{9FE70389-D16F-42EB-B7AD-72259F692033}" id="{31E035BB-6DFE-41A5-82B7-7AA74BFB2A26}">
    <text>@aakash@lana.eco I found that the 6mth value is from the latest PEC EPCC contract with CNECC, the 18 months is and older contract.</text>
    <mentions>
      <mention mentionpersonId="{39B48998-C814-4538-9527-F86194B66D97}" mentionId="{A2246293-4BF5-4D90-8A40-86A0E3725616}" startIndex="0" length="16"/>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B27" dT="2026-03-03T03:12:46.00" personId="{83DC0ED5-FCF4-4824-B5FA-26C20F44CE04}" id="{F26CF4AE-DDDB-4FF2-ACAF-AB043C350E40}">
    <text>In terms of RAG layer, the largest root cause is the Retrieval piece. Solving for Interpretation + Retrieval would is 2/3rds of the problem.</text>
  </threadedComment>
  <threadedComment ref="B34" dT="2026-03-03T03:30:10.00" personId="{83DC0ED5-FCF4-4824-B5FA-26C20F44CE04}" id="{4464FBF5-4A03-4E3B-836D-2AFD95350C99}">
    <text>~1/5 of the retrieval errors are due to "retrieval failure"</text>
  </threadedComment>
</ThreadedComments>
</file>

<file path=xl/threadedComments/threadedComment3.xml><?xml version="1.0" encoding="utf-8"?>
<ThreadedComments xmlns="http://schemas.microsoft.com/office/spreadsheetml/2018/threadedcomments" xmlns:x="http://schemas.openxmlformats.org/spreadsheetml/2006/main">
  <threadedComment ref="U1" dT="2026-03-03T08:01:02.00" personId="{DA3E80FD-C27C-4BDB-956E-CE43F63D65CE}" id="{9220F476-E81B-4369-A8AB-82DD5C375CC6}">
    <text>Which part of system failed (Retrieval / Extraction / Computation)	To know where to fix. IG meaning of the "RAG Layer Affected" is same almost so we can keep it one column.</text>
  </threadedComment>
  <threadedComment ref="W1" dT="2026-03-03T08:01:31.00" personId="{DA3E80FD-C27C-4BDB-956E-CE43F63D65CE}" id="{5B622380-A598-4E92-B547-8078B189C32E}">
    <text>How serious the mistake is</text>
  </threadedComment>
  <threadedComment ref="W1" dT="2026-03-03T08:07:27.00" personId="{DA3E80FD-C27C-4BDB-956E-CE43F63D65CE}" id="{D51C0E3F-CD50-43CC-8B40-B39B16CBC1F1}" parentId="{5B622380-A598-4E92-B547-8078B189C32E}">
    <text>CRITICAL → System output cannot be trusted for decision-making
HIGH → Needs correction before financial approval
MEDIUM → Acceptable for review draft, not final credit memo
LOW → Safe for most modeling purposes
NONE → Fully reliable</text>
  </threadedComment>
  <threadedComment ref="X1" dT="2026-03-03T08:02:02.00" personId="{DA3E80FD-C27C-4BDB-956E-CE43F63D65CE}" id="{8C0E0D48-D6A4-4FA6-822A-6ABD19F38BDA}">
    <text>How urgent the fix is	To plan engineering work Based on priority.</text>
  </threadedComment>
  <threadedComment ref="X1" dT="2026-03-03T08:05:40.00" personId="{DA3E80FD-C27C-4BDB-956E-CE43F63D65CE}" id="{DEA7D701-E2B4-4E8F-AB20-8CC2C2C2EAA3}" parentId="{8C0E0D48-D6A4-4FA6-822A-6ABD19F38BDA}">
    <text>CRITICAL - Big financial or legal risk Datapoints.
HIGH - Important mistake. Should fix soon with important Datapoints.
MEDIUM - Moderate issue. Not urgent but needs improvements in Datapoints.
LOW - Small issue. Minor impact.
NONE - No issue. Correct answer.</text>
  </threadedComment>
  <threadedComment ref="Y3" dT="2026-03-03T01:37:58.00" personId="{9FE70389-D16F-42EB-B7AD-72259F692033}" id="{7B7420F4-0DD7-46E5-A560-38A1C61D0C90}">
    <text>@aakash@lana.eco I saw that LPG is mentioned in the TSA, but not in the term sheet. the LPG refers to C3 and C4 product storage. so it is another term for the products. You can see this on pg 58 of 79 (one case of mention, but also present in other parts of the document) of '47.3.5.1.2.1.1 PEC TSA dated 15 May 2'</text>
    <mentions>
      <mention mentionpersonId="{39B48998-C814-4538-9527-F86194B66D97}" mentionId="{D8DB4432-ED35-4D0A-90F1-428FE399BB06}" startIndex="0" length="16"/>
    </mentions>
  </threadedComment>
  <threadedComment ref="Y3" dT="2026-03-03T05:38:44.00" personId="{DA3E80FD-C27C-4BDB-956E-CE43F63D65CE}" id="{916BC53F-2B70-4495-A381-2E20F856AB6B}" parentId="{7B7420F4-0DD7-46E5-A560-38A1C61D0C90}">
    <text>Thank you for the clarification. Based on this context, can we treat the response as correct rather than a scope over-expansion or hallucination ??
@jin@lana.eco</text>
    <mentions>
      <mention mentionpersonId="{5E1197DB-C80A-44E2-83C5-6D6043A38FC5}" mentionId="{67093B57-582D-48F4-9E46-E9939EF7F188}" startIndex="148" length="13"/>
    </mentions>
  </threadedComment>
  <threadedComment ref="Y3" dT="2026-03-03T06:03:04.00" personId="{9FE70389-D16F-42EB-B7AD-72259F692033}" id="{ED20BE9E-F5C6-4C4A-9A58-6476D30CDC1C}" parentId="{7B7420F4-0DD7-46E5-A560-38A1C61D0C90}">
    <text>yes!</text>
  </threadedComment>
  <threadedComment ref="Y25" dT="2026-03-03T02:12:23.00" personId="{9FE70389-D16F-42EB-B7AD-72259F692033}" id="{8C37D6C2-E684-4CB8-946D-A86C75458F6A}">
    <text>The per day qualifier her is important and should be extracted from the units. Ideally annual time units is also extracted for shell -&gt; how do we define this together in one data point, or another datapoint?</text>
  </threadedComment>
  <threadedComment ref="Y25" dT="2026-03-03T05:46:44.00" personId="{DA3E80FD-C27C-4BDB-956E-CE43F63D65CE}" id="{0C0BE65C-C3CE-47A2-ACD4-F90F004DC257}" parentId="{8C37D6C2-E684-4CB8-946D-A86C75458F6A}">
    <text>Thanks, that makes sense. The time qualifier definitely seems important for correct interpretation and aggregation.
Before we finalize how to handle it, I think it would help to align on the schema approach.
@massimiliano@lana.eco — could you confirm whether the time basis should be included as part of the unit datapoint, or captured separately?</text>
    <mentions>
      <mention mentionpersonId="{57A3C05A-D6A6-4DBA-9F94-E3EA73987D4E}" mentionId="{74E9A559-F955-45CE-A734-7BB5C6C61B4E}" startIndex="210" length="22"/>
    </mentions>
  </threadedComment>
  <threadedComment ref="Y28" dT="2026-03-03T02:16:53.00" personId="{9FE70389-D16F-42EB-B7AD-72259F692033}" id="{D2AC88EA-54A2-40B9-81CE-8D8B548D24C9}">
    <text>datapoint definition is no longer clear, there are two ways to interpret this. 1. feedstock quality specification based on engineering design specifications. 2. feedstock contracted quality specified in feedstock contracts. So there's an error here in the expected document source.</text>
  </threadedComment>
  <threadedComment ref="Y28" dT="2026-03-03T05:59:09.00" personId="{DA3E80FD-C27C-4BDB-956E-CE43F63D65CE}" id="{C6C5C95E-C214-4A7E-A0CE-2FC69D2B4DA9}" parentId="{D2AC88EA-54A2-40B9-81CE-8D8B548D24C9}">
    <text>So is that correct ?? or If both are relevant, we may consider splitting this into two separate datapoints to avoid interpretation ambiguity ?? what do you think ?
@jin@lana.eco</text>
    <mentions>
      <mention mentionpersonId="{5E1197DB-C80A-44E2-83C5-6D6043A38FC5}" mentionId="{5F7699C2-2747-4D98-AFE6-17053D78D809}" startIndex="164" length="13"/>
    </mentions>
  </threadedComment>
  <threadedComment ref="Y28" dT="2026-03-03T06:16:30.00" personId="{9FE70389-D16F-42EB-B7AD-72259F692033}" id="{E59C5AB8-C5F3-4015-84EE-76A78AF32A6B}" parentId="{D2AC88EA-54A2-40B9-81CE-8D8B548D24C9}">
    <text>Yes, the intention of this data point is to verify that the quality of the contracted feedstock meets the minimum requirement stated in the engineering design document. In the PEC answer, I listed the ground truth source as an engineering document. We will need this from each feedstock contract with the feedstock supplier, as well as from the engineering document. So, based on my original expected document source as a feedstock supply contract, the extracted answer is correct, and my PEC answer needs to be moved to a new datapoint.</text>
  </threadedComment>
  <threadedComment ref="Y31" dT="2026-03-03T02:19:27.00" personId="{9FE70389-D16F-42EB-B7AD-72259F692033}" id="{6B3F4F49-D699-4AC4-BDAE-C63B39CCAAB1}">
    <text>ground truth context: contract mentions take or pay provisions. industry standard is that once minimum is defined, then the take-or-pay provisions are applied to the minimum.</text>
  </threadedComment>
  <threadedComment ref="Y31" dT="2026-03-03T06:09:34.00" personId="{DA3E80FD-C27C-4BDB-956E-CE43F63D65CE}" id="{BCC1860E-0794-47F4-8AD3-F715C5CCF4D1}" parentId="{6B3F4F49-D699-4AC4-BDAE-C63B39CCAAB1}">
    <text>Thanks, that’s helpful. Since the contract defines a minimum quantity and take-or-pay provisions apply to that minimum as industry standard, it may be a wording alignment issue rather than absence of the clause. The model should extract the defined minimum quantity and treat it as the take-or-pay base. I guess</text>
  </threadedComment>
  <threadedComment ref="Y32" dT="2026-03-03T02:20:07.00" personId="{9FE70389-D16F-42EB-B7AD-72259F692033}" id="{3D5B781B-587F-4F77-88A2-B8E2E3004D2F}">
    <text>@aakash@lana.eco is this a hallucination?</text>
    <mentions>
      <mention mentionpersonId="{39B48998-C814-4538-9527-F86194B66D97}" mentionId="{1CC5265E-2E84-4C10-B24D-9E717F1A9661}" startIndex="0" length="16"/>
    </mentions>
  </threadedComment>
  <threadedComment ref="Y32" dT="2026-03-03T06:19:34.00" personId="{DA3E80FD-C27C-4BDB-956E-CE43F63D65CE}" id="{7072B2E2-EC08-4B7C-9DBB-C886613DF184}" parentId="{3D5B781B-587F-4F77-88A2-B8E2E3004D2F}">
    <text>@jin@lana.eco 
This is not hallucination — the model extracted the coverage values directly from the insurance policy document. Since there is no PEC baseline provided for comparison, we’re unable to validate completeness or correctness.
These figures are present in the document “Copy of 47.8.1.3 Insurance Report_Bankserve.pdf”, which is why the model returned them.</text>
    <mentions>
      <mention mentionpersonId="{5E1197DB-C80A-44E2-83C5-6D6043A38FC5}" mentionId="{3B6486AD-77C5-4682-BCBB-418B10A87555}" startIndex="0" length="13"/>
    </mentions>
  </threadedComment>
  <threadedComment ref="Y32" dT="2026-03-03T08:12:01.00" personId="{9FE70389-D16F-42EB-B7AD-72259F692033}" id="{EFD01C91-A621-4322-8AA4-F4E43AF4222C}" parentId="{3D5B781B-587F-4F77-88A2-B8E2E3004D2F}">
    <text>ok let me check and update the PEC answer as required!</text>
  </threadedComment>
  <threadedComment ref="Y42" dT="2026-03-03T02:28:25.00" personId="{9FE70389-D16F-42EB-B7AD-72259F692033}" id="{CC1A0EFE-B2CA-4737-89C3-3FBA315D2A53}">
    <text>My PEC answer is incorrect here. it should be 20%. the cell above was copied below in the PEC answer and probably replaced the original answer with the above cell's answer.</text>
  </threadedComment>
  <threadedComment ref="Y45" dT="2026-03-03T02:30:02.00" personId="{9FE70389-D16F-42EB-B7AD-72259F692033}" id="{67E84D21-4929-4EE8-92B7-D6E5806F932C}">
    <text>units can be interpreted as units of products, maybe we need to call this units of measurement.</text>
  </threadedComment>
</ThreadedComments>
</file>

<file path=xl/threadedComments/threadedComment4.xml><?xml version="1.0" encoding="utf-8"?>
<ThreadedComments xmlns="http://schemas.microsoft.com/office/spreadsheetml/2018/threadedcomments" xmlns:x="http://schemas.openxmlformats.org/spreadsheetml/2006/main">
  <threadedComment ref="K14" dT="2026-02-27T01:09:36.00" personId="{9FE70389-D16F-42EB-B7AD-72259F692033}" id="{069DA2D0-0C2E-48D0-9CAF-83FB607CED0D}">
    <text>@aakash@lana.eco the AI correctly identified that there are two parties. the second entity PTSO comes from the updated agreement sent from the client in another feedstock contract.
Assigned to aakash@lana.eco</text>
    <mentions>
      <mention mentionpersonId="{39B48998-C814-4538-9527-F86194B66D97}" mentionId="{3F4F9F89-2876-4E55-8293-540AFC83CAAE}" startIndex="0" length="16"/>
    </mentions>
  </threadedComment>
  <threadedComment ref="C27" dT="2026-02-26T06:20:40.00" personId="{DA3E80FD-C27C-4BDB-956E-CE43F63D65CE}" id="{C14361DF-BBAA-4671-887A-692729608706}">
    <text>Should we expect datapoint return 1 combined value across all contracts, or separate values per contract (e.g., Shell Condensate, Shell Naphtha, Equinor — total 3 expected values)?</text>
  </threadedComment>
  <threadedComment ref="C27" dT="2026-02-26T07:56:37.00" personId="{83DC0ED5-FCF4-4824-B5FA-26C20F44CE04}" id="{9F2BDDC3-C474-4091-AB7B-9476BBA15EA3}" parentId="{C14361DF-BBAA-4671-887A-692729608706}">
    <text>@jin@lana.eco thoughts?</text>
    <mentions>
      <mention mentionpersonId="{5E1197DB-C80A-44E2-83C5-6D6043A38FC5}" mentionId="{2C891B47-F7B5-4F96-B5B1-4F3D7BBC63F8}" startIndex="0" length="13"/>
    </mentions>
  </threadedComment>
  <threadedComment ref="C27" dT="2026-02-27T01:13:12.00" personId="{9FE70389-D16F-42EB-B7AD-72259F692033}" id="{A1456D4B-5C83-401E-A091-93F78CF28816}" parentId="{C14361DF-BBAA-4671-887A-692729608706}">
    <text>@aakash@lana.eco @massimiliano@lana.eco - I don't have visibility over standard contract terms of feedstock contracts. I would say it is safer now to expect 3 different values across the contract, rather than to have a future contract with different delivery terms for different products and the RAG failing to get them.</text>
    <mentions>
      <mention mentionpersonId="{39B48998-C814-4538-9527-F86194B66D97}" mentionId="{410102BC-5A6A-4A91-990E-E17B85570A88}" startIndex="0" length="16"/>
      <mention mentionpersonId="{57A3C05A-D6A6-4DBA-9F94-E3EA73987D4E}" mentionId="{E23645C8-DBDA-45A9-9BF4-CB1A74D6F416}" startIndex="17" length="22"/>
    </mentions>
  </threadedComment>
  <threadedComment ref="C32" dT="2026-02-26T07:36:59.00" personId="{DA3E80FD-C27C-4BDB-956E-CE43F63D65CE}" id="{AAAD589B-1812-4A72-8790-FD21492212CF}">
    <text>PEC says no document was provided, so technically there’s no value to extract. The system pulled 7 coverage amounts from a related doc. By the rules, this counts as correct, but it could also be seen as over-extraction since PEC didn’t expect any. I might want to clarify how to handle these “no doc” cases consistently.</text>
  </threadedComment>
  <threadedComment ref="C33" dT="2026-02-26T07:44:09.00" personId="{DA3E80FD-C27C-4BDB-956E-CE43F63D65CE}" id="{1234415C-BF32-4A43-BF0C-CC8F6CB58B7D}">
    <text>In PEC, no value is provided. I haven’t reviewed the raw documents yet — once I complete that, I’ll verify everything against the docs. As of now, it’s not mentioned in PEC, but it has been extracted.</text>
  </threadedComment>
  <threadedComment ref="C42" dT="2026-02-26T13:06:02.00" personId="{DA3E80FD-C27C-4BDB-956E-CE43F63D65CE}" id="{924D71EB-A9B5-437D-BCE3-EFDF342BCEC8}">
    <text>PEC quote mentions 10% Performance LD, but the datapoint asks for the total LD cap.
The extraction identifies 20% of Contract Price as the aggregate cap for all LDs, consistent across both CNCEC+PEC and W&amp;C Draft contracts.
So Does it correct?</text>
  </threadedComment>
  <threadedComment ref="K44" dT="2026-02-27T01:30:58.00" personId="{9FE70389-D16F-42EB-B7AD-72259F692033}" id="{739AD86A-0DE0-49BA-9C0B-CC097AE34676}">
    <text>@massimiliano@lana.eco @aakash@lana.eco I suspect that this new data point only has a partial completion rate due to the definition of 'nameplate capacity'. possible synonyms: capacity per product line. The two main products are paraxylene and benzene.</text>
    <mentions>
      <mention mentionpersonId="{57A3C05A-D6A6-4DBA-9F94-E3EA73987D4E}" mentionId="{D8DBA627-B190-494F-91AD-51F1BDD8F70D}" startIndex="0" length="22"/>
      <mention mentionpersonId="{39B48998-C814-4538-9527-F86194B66D97}" mentionId="{85E71232-2D18-484E-96FC-03648814B34D}" startIndex="23" length="16"/>
    </mentions>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7/10/relationships/threadedComment" Target="../threadedComments/threadedComment2.xml"/><Relationship Id="rId5" Type="http://schemas.openxmlformats.org/officeDocument/2006/relationships/pivotTable" Target="../pivotTables/pivotTable5.xml"/><Relationship Id="rId10" Type="http://schemas.openxmlformats.org/officeDocument/2006/relationships/comments" Target="../comments2.xml"/><Relationship Id="rId4" Type="http://schemas.openxmlformats.org/officeDocument/2006/relationships/pivotTable" Target="../pivotTables/pivotTable4.xml"/><Relationship Id="rId9"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3.xml"/><Relationship Id="rId1" Type="http://schemas.openxmlformats.org/officeDocument/2006/relationships/vmlDrawing" Target="../drawings/vmlDrawing4.vml"/><Relationship Id="rId5" Type="http://schemas.microsoft.com/office/2019/04/relationships/documenttask" Target="../documenttasks/documenttask1.x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44"/>
  <sheetViews>
    <sheetView tabSelected="1" workbookViewId="0"/>
  </sheetViews>
  <sheetFormatPr defaultColWidth="12.5703125" defaultRowHeight="15.75" customHeight="1"/>
  <cols>
    <col min="1" max="1" width="30.140625" customWidth="1"/>
    <col min="2" max="2" width="21.140625" customWidth="1"/>
    <col min="3" max="3" width="22.140625" customWidth="1"/>
    <col min="4" max="4" width="26.42578125" customWidth="1"/>
    <col min="5" max="5" width="36.140625" customWidth="1"/>
    <col min="6" max="6" width="36.28515625" customWidth="1"/>
    <col min="7" max="7" width="19.5703125" customWidth="1"/>
  </cols>
  <sheetData>
    <row r="1" spans="1:7">
      <c r="A1" s="1" t="s">
        <v>0</v>
      </c>
      <c r="B1" s="1" t="s">
        <v>1</v>
      </c>
      <c r="C1" s="1" t="s">
        <v>2</v>
      </c>
      <c r="D1" s="1" t="s">
        <v>3</v>
      </c>
      <c r="E1" s="1" t="s">
        <v>4</v>
      </c>
      <c r="F1" s="1" t="s">
        <v>5</v>
      </c>
      <c r="G1" s="1" t="s">
        <v>6</v>
      </c>
    </row>
    <row r="2" spans="1:7">
      <c r="A2" s="2" t="s">
        <v>7</v>
      </c>
      <c r="B2" s="2">
        <v>26</v>
      </c>
      <c r="C2" s="3">
        <v>0.19</v>
      </c>
      <c r="D2" s="3">
        <v>0.42</v>
      </c>
      <c r="E2" s="3">
        <v>0.38</v>
      </c>
      <c r="F2" s="2" t="s">
        <v>8</v>
      </c>
      <c r="G2" s="2" t="s">
        <v>9</v>
      </c>
    </row>
    <row r="3" spans="1:7">
      <c r="A3" s="2" t="s">
        <v>10</v>
      </c>
      <c r="B3" s="2">
        <v>26</v>
      </c>
      <c r="C3" s="3">
        <v>0.54</v>
      </c>
      <c r="D3" s="3">
        <v>0.15</v>
      </c>
      <c r="E3" s="3">
        <v>0.12</v>
      </c>
      <c r="F3" s="2" t="s">
        <v>11</v>
      </c>
      <c r="G3" s="2" t="s">
        <v>12</v>
      </c>
    </row>
    <row r="4" spans="1:7">
      <c r="A4" s="2" t="s">
        <v>13</v>
      </c>
      <c r="B4" s="2">
        <v>26</v>
      </c>
      <c r="C4" s="3">
        <v>0.65</v>
      </c>
      <c r="D4" s="3">
        <v>0.12</v>
      </c>
      <c r="E4" s="3">
        <v>0.15</v>
      </c>
      <c r="F4" s="2" t="s">
        <v>14</v>
      </c>
      <c r="G4" s="2" t="s">
        <v>15</v>
      </c>
    </row>
    <row r="5" spans="1:7">
      <c r="A5" s="2" t="s">
        <v>16</v>
      </c>
      <c r="B5" s="2">
        <v>14</v>
      </c>
      <c r="C5" s="3">
        <v>0.56999999999999995</v>
      </c>
      <c r="D5" s="3">
        <v>0.14000000000000001</v>
      </c>
      <c r="E5" s="3">
        <v>0.28999999999999998</v>
      </c>
      <c r="F5" s="2" t="s">
        <v>17</v>
      </c>
      <c r="G5" s="2" t="s">
        <v>18</v>
      </c>
    </row>
    <row r="6" spans="1:7">
      <c r="A6" s="2" t="s">
        <v>19</v>
      </c>
      <c r="B6" s="2">
        <v>92</v>
      </c>
      <c r="C6" s="3">
        <v>0.53</v>
      </c>
      <c r="D6" s="3">
        <v>0.17</v>
      </c>
      <c r="E6" s="3">
        <v>0.23</v>
      </c>
      <c r="F6" s="2" t="s">
        <v>20</v>
      </c>
      <c r="G6" s="2" t="s">
        <v>21</v>
      </c>
    </row>
    <row r="7" spans="1:7">
      <c r="A7" s="4"/>
      <c r="B7" s="4"/>
      <c r="C7" s="4"/>
      <c r="D7" s="4"/>
      <c r="E7" s="4"/>
      <c r="F7" s="4"/>
      <c r="G7" s="4"/>
    </row>
    <row r="8" spans="1:7">
      <c r="A8" s="1" t="s">
        <v>22</v>
      </c>
      <c r="B8" s="1"/>
      <c r="C8" s="1"/>
      <c r="D8" s="1"/>
      <c r="E8" s="1"/>
      <c r="F8" s="4"/>
      <c r="G8" s="4"/>
    </row>
    <row r="9" spans="1:7">
      <c r="A9" s="1" t="s">
        <v>23</v>
      </c>
      <c r="B9" s="1" t="s">
        <v>24</v>
      </c>
      <c r="C9" s="1" t="s">
        <v>25</v>
      </c>
      <c r="D9" s="1" t="s">
        <v>26</v>
      </c>
      <c r="E9" s="1" t="s">
        <v>27</v>
      </c>
      <c r="F9" s="4"/>
      <c r="G9" s="4"/>
    </row>
    <row r="10" spans="1:7">
      <c r="A10" s="2" t="s">
        <v>28</v>
      </c>
      <c r="B10" s="2" t="s">
        <v>29</v>
      </c>
      <c r="C10" s="3" t="s">
        <v>30</v>
      </c>
      <c r="D10" s="3" t="s">
        <v>12</v>
      </c>
      <c r="E10" s="3" t="s">
        <v>31</v>
      </c>
      <c r="F10" s="4"/>
      <c r="G10" s="4"/>
    </row>
    <row r="11" spans="1:7">
      <c r="A11" s="2" t="s">
        <v>32</v>
      </c>
      <c r="B11" s="2" t="s">
        <v>33</v>
      </c>
      <c r="C11" s="3" t="s">
        <v>30</v>
      </c>
      <c r="D11" s="3" t="s">
        <v>15</v>
      </c>
      <c r="E11" s="3" t="s">
        <v>34</v>
      </c>
      <c r="F11" s="4"/>
      <c r="G11" s="4"/>
    </row>
    <row r="12" spans="1:7">
      <c r="A12" s="2" t="s">
        <v>35</v>
      </c>
      <c r="B12" s="2" t="s">
        <v>36</v>
      </c>
      <c r="C12" s="3" t="s">
        <v>30</v>
      </c>
      <c r="D12" s="3" t="s">
        <v>37</v>
      </c>
      <c r="E12" s="3" t="s">
        <v>38</v>
      </c>
      <c r="F12" s="4"/>
      <c r="G12" s="4"/>
    </row>
    <row r="13" spans="1:7">
      <c r="A13" s="2" t="s">
        <v>39</v>
      </c>
      <c r="B13" s="2" t="s">
        <v>40</v>
      </c>
      <c r="C13" s="3" t="s">
        <v>30</v>
      </c>
      <c r="D13" s="3" t="s">
        <v>15</v>
      </c>
      <c r="E13" s="3" t="s">
        <v>41</v>
      </c>
      <c r="F13" s="4"/>
      <c r="G13" s="4"/>
    </row>
    <row r="14" spans="1:7">
      <c r="A14" s="2" t="s">
        <v>42</v>
      </c>
      <c r="B14" s="2" t="s">
        <v>43</v>
      </c>
      <c r="C14" s="3" t="s">
        <v>30</v>
      </c>
      <c r="D14" s="3" t="s">
        <v>9</v>
      </c>
      <c r="E14" s="3" t="s">
        <v>44</v>
      </c>
      <c r="F14" s="4"/>
      <c r="G14" s="4"/>
    </row>
    <row r="15" spans="1:7">
      <c r="A15" s="2" t="s">
        <v>45</v>
      </c>
      <c r="B15" s="2" t="s">
        <v>46</v>
      </c>
      <c r="C15" s="3" t="s">
        <v>30</v>
      </c>
      <c r="D15" s="3" t="s">
        <v>9</v>
      </c>
      <c r="E15" s="3" t="s">
        <v>47</v>
      </c>
      <c r="F15" s="4"/>
      <c r="G15" s="4"/>
    </row>
    <row r="16" spans="1:7">
      <c r="A16" s="2" t="s">
        <v>48</v>
      </c>
      <c r="B16" s="2" t="s">
        <v>46</v>
      </c>
      <c r="C16" s="3" t="s">
        <v>49</v>
      </c>
      <c r="D16" s="3" t="s">
        <v>9</v>
      </c>
      <c r="E16" s="3" t="s">
        <v>50</v>
      </c>
      <c r="F16" s="4"/>
      <c r="G16" s="4"/>
    </row>
    <row r="17" spans="1:7">
      <c r="A17" s="2" t="s">
        <v>51</v>
      </c>
      <c r="B17" s="2" t="s">
        <v>46</v>
      </c>
      <c r="C17" s="3" t="s">
        <v>30</v>
      </c>
      <c r="D17" s="3" t="s">
        <v>52</v>
      </c>
      <c r="E17" s="3" t="s">
        <v>53</v>
      </c>
      <c r="F17" s="4"/>
      <c r="G17" s="4"/>
    </row>
    <row r="18" spans="1:7">
      <c r="A18" s="2" t="s">
        <v>54</v>
      </c>
      <c r="B18" s="2" t="s">
        <v>55</v>
      </c>
      <c r="C18" s="3" t="s">
        <v>56</v>
      </c>
      <c r="D18" s="3" t="s">
        <v>56</v>
      </c>
      <c r="E18" s="3" t="s">
        <v>57</v>
      </c>
      <c r="F18" s="4"/>
      <c r="G18" s="4"/>
    </row>
    <row r="20" spans="1:7">
      <c r="A20" s="7" t="s">
        <v>58</v>
      </c>
      <c r="B20" s="7"/>
      <c r="C20" s="7"/>
      <c r="D20" s="7"/>
      <c r="E20" s="5"/>
    </row>
    <row r="21" spans="1:7">
      <c r="A21" s="7" t="s">
        <v>59</v>
      </c>
      <c r="B21" s="7" t="s">
        <v>60</v>
      </c>
      <c r="C21" s="7" t="s">
        <v>61</v>
      </c>
      <c r="D21" s="7" t="s">
        <v>62</v>
      </c>
    </row>
    <row r="22" spans="1:7">
      <c r="A22" s="32" t="s">
        <v>63</v>
      </c>
      <c r="B22" s="32" t="s">
        <v>64</v>
      </c>
      <c r="C22" s="6" t="s">
        <v>65</v>
      </c>
      <c r="D22" s="6" t="s">
        <v>66</v>
      </c>
    </row>
    <row r="23" spans="1:7">
      <c r="A23" s="32" t="s">
        <v>67</v>
      </c>
      <c r="B23" s="32" t="s">
        <v>68</v>
      </c>
      <c r="C23" s="6" t="s">
        <v>65</v>
      </c>
      <c r="D23" s="6" t="s">
        <v>69</v>
      </c>
    </row>
    <row r="24" spans="1:7">
      <c r="A24" s="32" t="s">
        <v>70</v>
      </c>
      <c r="B24" s="32" t="s">
        <v>71</v>
      </c>
      <c r="C24" s="6" t="s">
        <v>72</v>
      </c>
      <c r="D24" s="6" t="s">
        <v>73</v>
      </c>
    </row>
    <row r="25" spans="1:7">
      <c r="A25" s="32" t="s">
        <v>74</v>
      </c>
      <c r="B25" s="32" t="s">
        <v>75</v>
      </c>
      <c r="C25" s="6" t="s">
        <v>76</v>
      </c>
      <c r="D25" s="6" t="s">
        <v>77</v>
      </c>
    </row>
    <row r="27" spans="1:7">
      <c r="A27" s="7" t="s">
        <v>78</v>
      </c>
      <c r="B27" s="7"/>
      <c r="C27" s="7"/>
      <c r="D27" s="7"/>
      <c r="E27" s="7"/>
    </row>
    <row r="28" spans="1:7">
      <c r="A28" s="7" t="s">
        <v>79</v>
      </c>
      <c r="B28" s="7" t="s">
        <v>80</v>
      </c>
      <c r="C28" s="7" t="s">
        <v>81</v>
      </c>
      <c r="D28" s="7" t="s">
        <v>82</v>
      </c>
      <c r="E28" s="7" t="s">
        <v>59</v>
      </c>
    </row>
    <row r="29" spans="1:7">
      <c r="A29" s="32">
        <v>1</v>
      </c>
      <c r="B29" s="32" t="s">
        <v>83</v>
      </c>
      <c r="C29" s="6" t="s">
        <v>84</v>
      </c>
      <c r="D29" s="6" t="s">
        <v>85</v>
      </c>
      <c r="E29" s="6" t="s">
        <v>12</v>
      </c>
    </row>
    <row r="30" spans="1:7">
      <c r="A30" s="32">
        <v>2</v>
      </c>
      <c r="B30" s="32" t="s">
        <v>86</v>
      </c>
      <c r="C30" s="6" t="s">
        <v>87</v>
      </c>
      <c r="D30" s="6" t="s">
        <v>85</v>
      </c>
      <c r="E30" s="6" t="s">
        <v>15</v>
      </c>
    </row>
    <row r="31" spans="1:7">
      <c r="A31" s="32">
        <v>3</v>
      </c>
      <c r="B31" s="32" t="s">
        <v>88</v>
      </c>
      <c r="C31" s="6" t="s">
        <v>89</v>
      </c>
      <c r="D31" s="6" t="s">
        <v>85</v>
      </c>
      <c r="E31" s="6" t="s">
        <v>12</v>
      </c>
    </row>
    <row r="32" spans="1:7">
      <c r="A32" s="32">
        <v>4</v>
      </c>
      <c r="B32" s="32" t="s">
        <v>90</v>
      </c>
      <c r="C32" s="6" t="s">
        <v>91</v>
      </c>
      <c r="D32" s="6" t="s">
        <v>76</v>
      </c>
      <c r="E32" s="6" t="s">
        <v>15</v>
      </c>
    </row>
    <row r="33" spans="1:5">
      <c r="A33" s="32">
        <v>5</v>
      </c>
      <c r="B33" s="32" t="s">
        <v>92</v>
      </c>
      <c r="C33" s="6" t="s">
        <v>93</v>
      </c>
      <c r="D33" s="6" t="s">
        <v>76</v>
      </c>
      <c r="E33" s="6" t="s">
        <v>9</v>
      </c>
    </row>
    <row r="34" spans="1:5">
      <c r="A34" s="32">
        <v>6</v>
      </c>
      <c r="B34" s="32" t="s">
        <v>94</v>
      </c>
      <c r="C34" s="6" t="s">
        <v>95</v>
      </c>
      <c r="D34" s="6" t="s">
        <v>72</v>
      </c>
      <c r="E34" s="6" t="s">
        <v>96</v>
      </c>
    </row>
    <row r="36" spans="1:5">
      <c r="A36" s="7" t="s">
        <v>97</v>
      </c>
      <c r="B36" s="7"/>
    </row>
    <row r="37" spans="1:5">
      <c r="A37" s="7" t="s">
        <v>98</v>
      </c>
      <c r="B37" s="7" t="s">
        <v>99</v>
      </c>
    </row>
    <row r="38" spans="1:5">
      <c r="A38" s="32" t="s">
        <v>100</v>
      </c>
      <c r="B38" s="32" t="s">
        <v>29</v>
      </c>
    </row>
    <row r="39" spans="1:5">
      <c r="A39" s="32" t="s">
        <v>101</v>
      </c>
      <c r="B39" s="32" t="s">
        <v>102</v>
      </c>
    </row>
    <row r="40" spans="1:5">
      <c r="A40" s="32" t="s">
        <v>103</v>
      </c>
      <c r="B40" s="32" t="s">
        <v>104</v>
      </c>
    </row>
    <row r="41" spans="1:5">
      <c r="A41" s="32" t="s">
        <v>105</v>
      </c>
      <c r="B41" s="32" t="s">
        <v>106</v>
      </c>
    </row>
    <row r="42" spans="1:5">
      <c r="A42" s="32" t="s">
        <v>107</v>
      </c>
      <c r="B42" s="32" t="s">
        <v>68</v>
      </c>
    </row>
    <row r="43" spans="1:5">
      <c r="A43" s="32" t="s">
        <v>108</v>
      </c>
      <c r="B43" s="32" t="s">
        <v>40</v>
      </c>
    </row>
    <row r="44" spans="1:5">
      <c r="A44" s="32" t="s">
        <v>109</v>
      </c>
      <c r="B44" s="32" t="s">
        <v>71</v>
      </c>
    </row>
  </sheetData>
  <pageMargins left="0" right="0" top="0" bottom="0" header="0" footer="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5703125" defaultRowHeight="15.75" customHeight="1"/>
  <cols>
    <col min="1" max="1" width="25.42578125" style="8" customWidth="1"/>
    <col min="2" max="2" width="30.28515625" style="8" customWidth="1"/>
    <col min="3" max="3" width="31.7109375" style="8" customWidth="1"/>
    <col min="4" max="4" width="16.85546875" style="8" customWidth="1"/>
    <col min="5" max="5" width="13.5703125" style="8" customWidth="1"/>
    <col min="6" max="6" width="33.42578125" style="8" customWidth="1"/>
    <col min="7" max="7" width="20.5703125" style="8" customWidth="1"/>
    <col min="8" max="8" width="22.42578125" style="8" customWidth="1"/>
    <col min="9" max="9" width="15.42578125" style="8" customWidth="1"/>
    <col min="10" max="10" width="24" style="8" customWidth="1"/>
    <col min="11" max="11" width="11.28515625" customWidth="1"/>
    <col min="12" max="12" width="37.5703125" style="8" customWidth="1"/>
    <col min="13" max="13" width="37.5703125" customWidth="1"/>
    <col min="14" max="14" width="21.28515625" style="8" customWidth="1"/>
    <col min="15" max="15" width="29.28515625" style="8" customWidth="1"/>
    <col min="16" max="16" width="18.85546875" style="8" customWidth="1"/>
    <col min="17" max="17" width="20.28515625" customWidth="1"/>
    <col min="18" max="18" width="23" style="8" customWidth="1"/>
    <col min="19" max="19" width="16.140625" style="8" customWidth="1"/>
    <col min="20" max="20" width="44" style="8" customWidth="1"/>
    <col min="21" max="21" width="25" style="8" customWidth="1"/>
    <col min="22" max="26" width="12.5703125" style="8"/>
  </cols>
  <sheetData>
    <row r="1" spans="1:21" ht="22.5" customHeight="1">
      <c r="A1" s="38" t="s">
        <v>110</v>
      </c>
      <c r="B1" s="38" t="s">
        <v>111</v>
      </c>
      <c r="C1" s="38" t="s">
        <v>112</v>
      </c>
      <c r="D1" s="38" t="s">
        <v>113</v>
      </c>
      <c r="E1" s="38" t="s">
        <v>114</v>
      </c>
      <c r="F1" s="38" t="s">
        <v>115</v>
      </c>
      <c r="G1" s="38" t="s">
        <v>116</v>
      </c>
      <c r="H1" s="38" t="s">
        <v>117</v>
      </c>
      <c r="I1" s="38" t="s">
        <v>118</v>
      </c>
      <c r="J1" s="38" t="s">
        <v>119</v>
      </c>
      <c r="K1" s="38" t="s">
        <v>120</v>
      </c>
      <c r="L1" s="38" t="s">
        <v>121</v>
      </c>
      <c r="M1" s="38" t="s">
        <v>122</v>
      </c>
      <c r="N1" s="38" t="s">
        <v>123</v>
      </c>
      <c r="O1" s="38" t="s">
        <v>124</v>
      </c>
      <c r="P1" s="38" t="s">
        <v>125</v>
      </c>
      <c r="Q1" s="38" t="s">
        <v>126</v>
      </c>
      <c r="R1" s="38" t="s">
        <v>127</v>
      </c>
      <c r="S1" s="38" t="s">
        <v>128</v>
      </c>
      <c r="T1" s="38" t="s">
        <v>129</v>
      </c>
      <c r="U1" s="38" t="s">
        <v>130</v>
      </c>
    </row>
    <row r="2" spans="1:21" ht="22.5" customHeight="1">
      <c r="A2" s="10" t="s">
        <v>131</v>
      </c>
      <c r="B2" s="10" t="s">
        <v>132</v>
      </c>
      <c r="C2" s="10">
        <v>10300000</v>
      </c>
      <c r="D2" s="10" t="s">
        <v>133</v>
      </c>
      <c r="E2" s="10" t="s">
        <v>134</v>
      </c>
      <c r="F2" s="10" t="s">
        <v>135</v>
      </c>
      <c r="G2" s="10" t="s">
        <v>136</v>
      </c>
      <c r="H2" s="10" t="s">
        <v>137</v>
      </c>
      <c r="I2" s="9" t="s">
        <v>138</v>
      </c>
      <c r="J2" s="10" t="s">
        <v>139</v>
      </c>
      <c r="K2" s="10" t="s">
        <v>140</v>
      </c>
      <c r="L2" s="10" t="s">
        <v>141</v>
      </c>
      <c r="M2" s="10" t="s">
        <v>142</v>
      </c>
      <c r="N2" s="10">
        <v>10</v>
      </c>
      <c r="O2" s="10" t="s">
        <v>143</v>
      </c>
      <c r="P2" s="10" t="s">
        <v>144</v>
      </c>
      <c r="Q2" s="10">
        <v>0.5</v>
      </c>
      <c r="R2" s="10" t="b">
        <v>1</v>
      </c>
      <c r="S2" s="10" t="b">
        <v>1</v>
      </c>
      <c r="T2" s="10" t="s">
        <v>145</v>
      </c>
      <c r="U2" s="10" t="b">
        <v>1</v>
      </c>
    </row>
    <row r="3" spans="1:21" ht="22.5" customHeight="1">
      <c r="A3" s="10" t="s">
        <v>146</v>
      </c>
      <c r="B3" s="10" t="s">
        <v>147</v>
      </c>
      <c r="C3" s="10" t="s">
        <v>148</v>
      </c>
      <c r="D3" s="10" t="s">
        <v>133</v>
      </c>
      <c r="E3" s="10" t="s">
        <v>149</v>
      </c>
      <c r="F3" s="10" t="s">
        <v>150</v>
      </c>
      <c r="G3" s="10" t="s">
        <v>136</v>
      </c>
      <c r="H3" s="10" t="s">
        <v>137</v>
      </c>
      <c r="I3" s="9" t="s">
        <v>138</v>
      </c>
      <c r="J3" s="10" t="s">
        <v>139</v>
      </c>
      <c r="K3" s="10" t="s">
        <v>140</v>
      </c>
      <c r="L3" s="10" t="s">
        <v>151</v>
      </c>
      <c r="M3" s="10" t="s">
        <v>152</v>
      </c>
      <c r="N3" s="10">
        <v>10</v>
      </c>
      <c r="O3" s="10" t="s">
        <v>153</v>
      </c>
      <c r="P3" s="10" t="s">
        <v>144</v>
      </c>
      <c r="Q3" s="10">
        <v>0.4</v>
      </c>
      <c r="R3" s="10" t="b">
        <v>1</v>
      </c>
      <c r="S3" s="10" t="b">
        <v>1</v>
      </c>
      <c r="T3" s="10" t="s">
        <v>154</v>
      </c>
      <c r="U3" s="10" t="b">
        <v>1</v>
      </c>
    </row>
    <row r="4" spans="1:21" ht="22.5" customHeight="1">
      <c r="A4" s="10" t="s">
        <v>155</v>
      </c>
      <c r="B4" s="10" t="s">
        <v>156</v>
      </c>
      <c r="C4" s="10">
        <v>0.115</v>
      </c>
      <c r="D4" s="10" t="s">
        <v>133</v>
      </c>
      <c r="E4" s="10" t="s">
        <v>157</v>
      </c>
      <c r="F4" s="10" t="s">
        <v>158</v>
      </c>
      <c r="G4" s="10" t="s">
        <v>159</v>
      </c>
      <c r="H4" s="10" t="s">
        <v>160</v>
      </c>
      <c r="I4" s="10" t="s">
        <v>161</v>
      </c>
      <c r="J4" s="10" t="s">
        <v>162</v>
      </c>
      <c r="K4" s="10"/>
      <c r="L4" s="10" t="s">
        <v>163</v>
      </c>
      <c r="M4" s="10"/>
      <c r="N4" s="10">
        <v>0</v>
      </c>
      <c r="O4" s="10" t="s">
        <v>164</v>
      </c>
      <c r="P4" s="10" t="s">
        <v>165</v>
      </c>
      <c r="Q4" s="10"/>
      <c r="R4" s="10" t="b">
        <v>1</v>
      </c>
      <c r="S4" s="10" t="b">
        <v>1</v>
      </c>
      <c r="T4" s="10" t="s">
        <v>166</v>
      </c>
      <c r="U4" s="10" t="b">
        <v>1</v>
      </c>
    </row>
    <row r="5" spans="1:21" ht="22.5" customHeight="1">
      <c r="A5" s="10" t="s">
        <v>167</v>
      </c>
      <c r="B5" s="10" t="s">
        <v>168</v>
      </c>
      <c r="C5" s="10">
        <v>7077786.9000000004</v>
      </c>
      <c r="D5" s="10" t="s">
        <v>169</v>
      </c>
      <c r="E5" s="10" t="s">
        <v>157</v>
      </c>
      <c r="F5" s="10" t="s">
        <v>170</v>
      </c>
      <c r="G5" s="10" t="s">
        <v>159</v>
      </c>
      <c r="H5" s="10" t="s">
        <v>160</v>
      </c>
      <c r="I5" s="10" t="s">
        <v>161</v>
      </c>
      <c r="J5" s="10" t="s">
        <v>162</v>
      </c>
      <c r="K5" s="10"/>
      <c r="L5" s="10" t="s">
        <v>171</v>
      </c>
      <c r="M5" s="10"/>
      <c r="N5" s="10">
        <v>0</v>
      </c>
      <c r="O5" s="10" t="s">
        <v>172</v>
      </c>
      <c r="P5" s="10" t="s">
        <v>165</v>
      </c>
      <c r="Q5" s="10"/>
      <c r="R5" s="10" t="b">
        <v>1</v>
      </c>
      <c r="S5" s="10" t="b">
        <v>1</v>
      </c>
      <c r="T5" s="10" t="s">
        <v>166</v>
      </c>
      <c r="U5" s="10" t="b">
        <v>1</v>
      </c>
    </row>
    <row r="6" spans="1:21" ht="87.75" customHeight="1">
      <c r="A6" s="10" t="s">
        <v>173</v>
      </c>
      <c r="B6" s="10" t="s">
        <v>174</v>
      </c>
      <c r="C6" s="11">
        <v>47484</v>
      </c>
      <c r="D6" s="10" t="s">
        <v>133</v>
      </c>
      <c r="E6" s="10" t="s">
        <v>175</v>
      </c>
      <c r="F6" s="10" t="s">
        <v>176</v>
      </c>
      <c r="G6" s="10" t="s">
        <v>159</v>
      </c>
      <c r="H6" s="10" t="s">
        <v>160</v>
      </c>
      <c r="I6" s="10" t="s">
        <v>177</v>
      </c>
      <c r="J6" s="10" t="s">
        <v>162</v>
      </c>
      <c r="K6" s="10" t="s">
        <v>178</v>
      </c>
      <c r="L6" s="10" t="s">
        <v>179</v>
      </c>
      <c r="M6" s="10" t="s">
        <v>180</v>
      </c>
      <c r="N6" s="10">
        <v>10</v>
      </c>
      <c r="O6" s="10" t="s">
        <v>181</v>
      </c>
      <c r="P6" s="10" t="s">
        <v>182</v>
      </c>
      <c r="Q6" s="10">
        <v>1</v>
      </c>
      <c r="R6" s="10" t="b">
        <v>1</v>
      </c>
      <c r="S6" s="10" t="b">
        <v>1</v>
      </c>
      <c r="T6" s="10" t="s">
        <v>183</v>
      </c>
      <c r="U6" s="10" t="b">
        <v>1</v>
      </c>
    </row>
    <row r="7" spans="1:21" ht="22.5" customHeight="1">
      <c r="A7" s="10" t="s">
        <v>184</v>
      </c>
      <c r="B7" s="10" t="s">
        <v>185</v>
      </c>
      <c r="C7" s="10" t="s">
        <v>186</v>
      </c>
      <c r="D7" s="10" t="s">
        <v>133</v>
      </c>
      <c r="E7" s="10" t="s">
        <v>157</v>
      </c>
      <c r="F7" s="10" t="s">
        <v>187</v>
      </c>
      <c r="G7" s="10" t="s">
        <v>188</v>
      </c>
      <c r="H7" s="10" t="s">
        <v>189</v>
      </c>
      <c r="I7" s="10" t="s">
        <v>190</v>
      </c>
      <c r="J7" s="10" t="s">
        <v>162</v>
      </c>
      <c r="K7" s="10" t="s">
        <v>191</v>
      </c>
      <c r="L7" s="10" t="s">
        <v>192</v>
      </c>
      <c r="M7" s="10" t="s">
        <v>193</v>
      </c>
      <c r="N7" s="10">
        <v>5</v>
      </c>
      <c r="O7" s="10" t="s">
        <v>194</v>
      </c>
      <c r="P7" s="10" t="s">
        <v>195</v>
      </c>
      <c r="Q7" s="10">
        <v>0.05</v>
      </c>
      <c r="R7" s="10" t="b">
        <v>1</v>
      </c>
      <c r="S7" s="10" t="b">
        <v>0</v>
      </c>
      <c r="T7" s="10" t="s">
        <v>196</v>
      </c>
      <c r="U7" s="10" t="b">
        <v>1</v>
      </c>
    </row>
    <row r="8" spans="1:21" ht="22.5" customHeight="1">
      <c r="A8" s="10" t="s">
        <v>197</v>
      </c>
      <c r="B8" s="10" t="s">
        <v>198</v>
      </c>
      <c r="C8" s="12">
        <v>1379976925.3499999</v>
      </c>
      <c r="D8" s="10" t="s">
        <v>169</v>
      </c>
      <c r="E8" s="10" t="s">
        <v>157</v>
      </c>
      <c r="F8" s="10" t="s">
        <v>199</v>
      </c>
      <c r="G8" s="10" t="s">
        <v>188</v>
      </c>
      <c r="H8" s="10" t="s">
        <v>189</v>
      </c>
      <c r="I8" s="10" t="s">
        <v>190</v>
      </c>
      <c r="J8" s="10" t="s">
        <v>162</v>
      </c>
      <c r="K8" s="10" t="s">
        <v>191</v>
      </c>
      <c r="L8" s="10" t="s">
        <v>200</v>
      </c>
      <c r="M8" s="10" t="s">
        <v>201</v>
      </c>
      <c r="N8" s="10">
        <v>5</v>
      </c>
      <c r="O8" s="10" t="s">
        <v>202</v>
      </c>
      <c r="P8" s="10" t="s">
        <v>144</v>
      </c>
      <c r="Q8" s="10">
        <v>0.5</v>
      </c>
      <c r="R8" s="10" t="b">
        <v>1</v>
      </c>
      <c r="S8" s="10" t="b">
        <v>1</v>
      </c>
      <c r="T8" s="10" t="s">
        <v>203</v>
      </c>
      <c r="U8" s="10" t="b">
        <v>1</v>
      </c>
    </row>
    <row r="9" spans="1:21" ht="22.5" customHeight="1">
      <c r="A9" s="10" t="s">
        <v>204</v>
      </c>
      <c r="B9" s="10" t="s">
        <v>205</v>
      </c>
      <c r="C9" s="10" t="s">
        <v>206</v>
      </c>
      <c r="D9" s="10" t="s">
        <v>169</v>
      </c>
      <c r="E9" s="10" t="s">
        <v>157</v>
      </c>
      <c r="F9" s="10" t="s">
        <v>207</v>
      </c>
      <c r="G9" s="10" t="s">
        <v>188</v>
      </c>
      <c r="H9" s="10" t="s">
        <v>189</v>
      </c>
      <c r="I9" s="10" t="s">
        <v>190</v>
      </c>
      <c r="J9" s="10" t="s">
        <v>162</v>
      </c>
      <c r="K9" s="10" t="s">
        <v>191</v>
      </c>
      <c r="L9" s="10" t="s">
        <v>208</v>
      </c>
      <c r="M9" s="10" t="s">
        <v>209</v>
      </c>
      <c r="N9" s="10">
        <v>5</v>
      </c>
      <c r="O9" s="10" t="s">
        <v>210</v>
      </c>
      <c r="P9" s="10" t="s">
        <v>144</v>
      </c>
      <c r="Q9" s="10">
        <v>0.7</v>
      </c>
      <c r="R9" s="10" t="b">
        <v>1</v>
      </c>
      <c r="S9" s="10" t="b">
        <v>0</v>
      </c>
      <c r="T9" s="10" t="s">
        <v>211</v>
      </c>
      <c r="U9" s="10" t="b">
        <v>1</v>
      </c>
    </row>
    <row r="10" spans="1:21" ht="22.5" customHeight="1">
      <c r="A10" s="10" t="s">
        <v>212</v>
      </c>
      <c r="B10" s="10" t="s">
        <v>213</v>
      </c>
      <c r="C10" s="10" t="s">
        <v>214</v>
      </c>
      <c r="D10" s="10" t="s">
        <v>215</v>
      </c>
      <c r="E10" s="10" t="s">
        <v>157</v>
      </c>
      <c r="F10" s="10" t="s">
        <v>216</v>
      </c>
      <c r="G10" s="10" t="s">
        <v>188</v>
      </c>
      <c r="H10" s="10" t="s">
        <v>189</v>
      </c>
      <c r="I10" s="10" t="s">
        <v>190</v>
      </c>
      <c r="J10" s="10" t="s">
        <v>162</v>
      </c>
      <c r="K10" s="10" t="s">
        <v>191</v>
      </c>
      <c r="L10" s="10" t="s">
        <v>217</v>
      </c>
      <c r="M10" s="10"/>
      <c r="N10" s="10">
        <v>3</v>
      </c>
      <c r="O10" s="10" t="s">
        <v>218</v>
      </c>
      <c r="P10" s="10" t="s">
        <v>165</v>
      </c>
      <c r="Q10" s="10"/>
      <c r="R10" s="10" t="b">
        <v>0</v>
      </c>
      <c r="S10" s="10" t="b">
        <v>0</v>
      </c>
      <c r="T10" s="10" t="s">
        <v>166</v>
      </c>
      <c r="U10" s="10" t="b">
        <v>1</v>
      </c>
    </row>
    <row r="11" spans="1:21" ht="22.5" customHeight="1">
      <c r="A11" s="10" t="s">
        <v>219</v>
      </c>
      <c r="B11" s="10" t="s">
        <v>220</v>
      </c>
      <c r="C11" s="10" t="s">
        <v>221</v>
      </c>
      <c r="D11" s="10" t="s">
        <v>169</v>
      </c>
      <c r="E11" s="10" t="s">
        <v>157</v>
      </c>
      <c r="F11" s="10" t="s">
        <v>222</v>
      </c>
      <c r="G11" s="10" t="s">
        <v>188</v>
      </c>
      <c r="H11" s="10" t="s">
        <v>189</v>
      </c>
      <c r="I11" s="10" t="s">
        <v>190</v>
      </c>
      <c r="J11" s="10" t="s">
        <v>162</v>
      </c>
      <c r="K11" s="10" t="s">
        <v>191</v>
      </c>
      <c r="L11" s="10" t="s">
        <v>223</v>
      </c>
      <c r="M11" s="10" t="s">
        <v>224</v>
      </c>
      <c r="N11" s="10">
        <v>5</v>
      </c>
      <c r="O11" s="10" t="s">
        <v>225</v>
      </c>
      <c r="P11" s="10" t="s">
        <v>195</v>
      </c>
      <c r="Q11" s="10">
        <v>0.1</v>
      </c>
      <c r="R11" s="10" t="b">
        <v>1</v>
      </c>
      <c r="S11" s="10" t="b">
        <v>0</v>
      </c>
      <c r="T11" s="10" t="s">
        <v>226</v>
      </c>
      <c r="U11" s="10" t="b">
        <v>1</v>
      </c>
    </row>
    <row r="12" spans="1:21" ht="22.5" customHeight="1">
      <c r="A12" s="10" t="s">
        <v>227</v>
      </c>
      <c r="B12" s="10" t="s">
        <v>228</v>
      </c>
      <c r="C12" s="10" t="s">
        <v>229</v>
      </c>
      <c r="D12" s="10" t="s">
        <v>169</v>
      </c>
      <c r="E12" s="10" t="s">
        <v>157</v>
      </c>
      <c r="F12" s="10" t="s">
        <v>230</v>
      </c>
      <c r="G12" s="10" t="s">
        <v>188</v>
      </c>
      <c r="H12" s="10" t="s">
        <v>189</v>
      </c>
      <c r="I12" s="10" t="s">
        <v>190</v>
      </c>
      <c r="J12" s="10" t="s">
        <v>162</v>
      </c>
      <c r="K12" s="10" t="s">
        <v>191</v>
      </c>
      <c r="L12" s="10" t="s">
        <v>231</v>
      </c>
      <c r="M12" s="10" t="s">
        <v>232</v>
      </c>
      <c r="N12" s="10">
        <v>5</v>
      </c>
      <c r="O12" s="10" t="s">
        <v>233</v>
      </c>
      <c r="P12" s="10" t="s">
        <v>182</v>
      </c>
      <c r="Q12" s="10">
        <v>0.95</v>
      </c>
      <c r="R12" s="10" t="b">
        <v>1</v>
      </c>
      <c r="S12" s="10" t="b">
        <v>0</v>
      </c>
      <c r="T12" s="10" t="s">
        <v>234</v>
      </c>
      <c r="U12" s="10" t="b">
        <v>1</v>
      </c>
    </row>
    <row r="13" spans="1:21" ht="22.5" customHeight="1">
      <c r="A13" s="10" t="s">
        <v>235</v>
      </c>
      <c r="B13" s="10" t="s">
        <v>236</v>
      </c>
      <c r="C13" s="10">
        <v>45</v>
      </c>
      <c r="D13" s="10" t="s">
        <v>133</v>
      </c>
      <c r="E13" s="10" t="s">
        <v>175</v>
      </c>
      <c r="F13" s="10" t="s">
        <v>237</v>
      </c>
      <c r="G13" s="10" t="s">
        <v>159</v>
      </c>
      <c r="H13" s="10" t="s">
        <v>160</v>
      </c>
      <c r="I13" s="10" t="s">
        <v>177</v>
      </c>
      <c r="J13" s="10" t="s">
        <v>162</v>
      </c>
      <c r="K13" s="10" t="s">
        <v>178</v>
      </c>
      <c r="L13" s="10" t="s">
        <v>238</v>
      </c>
      <c r="M13" s="10" t="s">
        <v>239</v>
      </c>
      <c r="N13" s="10">
        <v>10</v>
      </c>
      <c r="O13" s="10" t="s">
        <v>240</v>
      </c>
      <c r="P13" s="10" t="s">
        <v>182</v>
      </c>
      <c r="Q13" s="10">
        <v>1</v>
      </c>
      <c r="R13" s="10" t="b">
        <v>1</v>
      </c>
      <c r="S13" s="10" t="b">
        <v>0</v>
      </c>
      <c r="T13" s="10" t="s">
        <v>241</v>
      </c>
      <c r="U13" s="10" t="b">
        <v>1</v>
      </c>
    </row>
    <row r="14" spans="1:21" ht="22.5" customHeight="1">
      <c r="A14" s="10" t="s">
        <v>242</v>
      </c>
      <c r="B14" s="10" t="s">
        <v>243</v>
      </c>
      <c r="C14" s="11">
        <v>46113</v>
      </c>
      <c r="D14" s="10" t="s">
        <v>133</v>
      </c>
      <c r="E14" s="10" t="s">
        <v>175</v>
      </c>
      <c r="F14" s="10" t="s">
        <v>244</v>
      </c>
      <c r="G14" s="10" t="s">
        <v>159</v>
      </c>
      <c r="H14" s="10" t="s">
        <v>160</v>
      </c>
      <c r="I14" s="10" t="s">
        <v>177</v>
      </c>
      <c r="J14" s="10" t="s">
        <v>162</v>
      </c>
      <c r="K14" s="10" t="s">
        <v>178</v>
      </c>
      <c r="L14" s="10" t="s">
        <v>245</v>
      </c>
      <c r="M14" s="10" t="s">
        <v>246</v>
      </c>
      <c r="N14" s="10">
        <v>10</v>
      </c>
      <c r="O14" s="10" t="s">
        <v>247</v>
      </c>
      <c r="P14" s="10" t="s">
        <v>182</v>
      </c>
      <c r="Q14" s="10">
        <v>1</v>
      </c>
      <c r="R14" s="10" t="b">
        <v>1</v>
      </c>
      <c r="S14" s="10" t="b">
        <v>1</v>
      </c>
      <c r="T14" s="10" t="s">
        <v>248</v>
      </c>
      <c r="U14" s="10" t="b">
        <v>1</v>
      </c>
    </row>
    <row r="15" spans="1:21" ht="22.5" customHeight="1">
      <c r="A15" s="10" t="s">
        <v>249</v>
      </c>
      <c r="B15" s="10" t="s">
        <v>250</v>
      </c>
      <c r="C15" s="10" t="s">
        <v>214</v>
      </c>
      <c r="D15" s="10" t="s">
        <v>133</v>
      </c>
      <c r="E15" s="10" t="s">
        <v>157</v>
      </c>
      <c r="F15" s="10" t="s">
        <v>251</v>
      </c>
      <c r="G15" s="10" t="s">
        <v>252</v>
      </c>
      <c r="H15" s="10" t="s">
        <v>253</v>
      </c>
      <c r="I15" s="10" t="s">
        <v>254</v>
      </c>
      <c r="J15" s="10" t="s">
        <v>139</v>
      </c>
      <c r="K15" s="10" t="s">
        <v>255</v>
      </c>
      <c r="L15" s="10" t="s">
        <v>256</v>
      </c>
      <c r="M15" s="10" t="s">
        <v>257</v>
      </c>
      <c r="N15" s="10">
        <v>10</v>
      </c>
      <c r="O15" s="10" t="s">
        <v>258</v>
      </c>
      <c r="P15" s="10" t="s">
        <v>259</v>
      </c>
      <c r="Q15" s="10">
        <v>1</v>
      </c>
      <c r="R15" s="10" t="b">
        <v>0</v>
      </c>
      <c r="S15" s="10" t="b">
        <v>0</v>
      </c>
      <c r="T15" s="10" t="s">
        <v>260</v>
      </c>
      <c r="U15" s="10" t="b">
        <v>1</v>
      </c>
    </row>
    <row r="16" spans="1:21" ht="22.5" customHeight="1">
      <c r="A16" s="10" t="s">
        <v>261</v>
      </c>
      <c r="B16" s="10" t="s">
        <v>262</v>
      </c>
      <c r="C16" s="10" t="s">
        <v>263</v>
      </c>
      <c r="D16" s="10" t="s">
        <v>133</v>
      </c>
      <c r="E16" s="10" t="s">
        <v>149</v>
      </c>
      <c r="F16" s="10" t="s">
        <v>264</v>
      </c>
      <c r="G16" s="10" t="s">
        <v>252</v>
      </c>
      <c r="H16" s="10" t="s">
        <v>253</v>
      </c>
      <c r="I16" s="10" t="s">
        <v>265</v>
      </c>
      <c r="J16" s="10" t="s">
        <v>139</v>
      </c>
      <c r="K16" s="10" t="s">
        <v>266</v>
      </c>
      <c r="L16" s="10" t="s">
        <v>267</v>
      </c>
      <c r="M16" s="10" t="s">
        <v>268</v>
      </c>
      <c r="N16" s="10">
        <v>10</v>
      </c>
      <c r="O16" s="10" t="s">
        <v>269</v>
      </c>
      <c r="P16" s="10" t="s">
        <v>144</v>
      </c>
      <c r="Q16" s="10">
        <v>0.6</v>
      </c>
      <c r="R16" s="10" t="b">
        <v>1</v>
      </c>
      <c r="S16" s="10" t="b">
        <v>1</v>
      </c>
      <c r="T16" s="10" t="s">
        <v>270</v>
      </c>
      <c r="U16" s="10" t="b">
        <v>1</v>
      </c>
    </row>
    <row r="17" spans="1:21" ht="22.5" customHeight="1">
      <c r="A17" s="10" t="s">
        <v>271</v>
      </c>
      <c r="B17" s="10" t="s">
        <v>272</v>
      </c>
      <c r="C17" s="10" t="s">
        <v>273</v>
      </c>
      <c r="D17" s="10" t="s">
        <v>133</v>
      </c>
      <c r="E17" s="10" t="s">
        <v>149</v>
      </c>
      <c r="F17" s="10" t="s">
        <v>274</v>
      </c>
      <c r="G17" s="10" t="s">
        <v>252</v>
      </c>
      <c r="H17" s="10" t="s">
        <v>253</v>
      </c>
      <c r="I17" s="10" t="s">
        <v>275</v>
      </c>
      <c r="J17" s="10" t="s">
        <v>139</v>
      </c>
      <c r="K17" s="10" t="s">
        <v>276</v>
      </c>
      <c r="L17" s="10" t="s">
        <v>277</v>
      </c>
      <c r="M17" s="10" t="s">
        <v>278</v>
      </c>
      <c r="N17" s="10">
        <v>10</v>
      </c>
      <c r="O17" s="10" t="s">
        <v>279</v>
      </c>
      <c r="P17" s="10" t="s">
        <v>144</v>
      </c>
      <c r="Q17" s="10">
        <v>0.6</v>
      </c>
      <c r="R17" s="10" t="b">
        <v>1</v>
      </c>
      <c r="S17" s="10" t="b">
        <v>1</v>
      </c>
      <c r="T17" s="10" t="s">
        <v>280</v>
      </c>
      <c r="U17" s="10" t="b">
        <v>1</v>
      </c>
    </row>
    <row r="18" spans="1:21" ht="22.5" customHeight="1">
      <c r="A18" s="10" t="s">
        <v>281</v>
      </c>
      <c r="B18" s="10" t="s">
        <v>282</v>
      </c>
      <c r="C18" s="10" t="s">
        <v>283</v>
      </c>
      <c r="D18" s="10" t="s">
        <v>133</v>
      </c>
      <c r="E18" s="10" t="s">
        <v>149</v>
      </c>
      <c r="F18" s="10" t="s">
        <v>284</v>
      </c>
      <c r="G18" s="10" t="s">
        <v>252</v>
      </c>
      <c r="H18" s="10" t="s">
        <v>253</v>
      </c>
      <c r="I18" s="10" t="s">
        <v>285</v>
      </c>
      <c r="J18" s="10" t="s">
        <v>139</v>
      </c>
      <c r="K18" s="10" t="s">
        <v>286</v>
      </c>
      <c r="L18" s="10" t="s">
        <v>287</v>
      </c>
      <c r="M18" s="10" t="s">
        <v>288</v>
      </c>
      <c r="N18" s="10">
        <v>10</v>
      </c>
      <c r="O18" s="10" t="s">
        <v>289</v>
      </c>
      <c r="P18" s="10" t="s">
        <v>144</v>
      </c>
      <c r="Q18" s="10">
        <v>0.65</v>
      </c>
      <c r="R18" s="10" t="b">
        <v>1</v>
      </c>
      <c r="S18" s="10" t="b">
        <v>1</v>
      </c>
      <c r="T18" s="10" t="s">
        <v>290</v>
      </c>
      <c r="U18" s="10" t="b">
        <v>1</v>
      </c>
    </row>
    <row r="19" spans="1:21" ht="22.5" customHeight="1">
      <c r="A19" s="10" t="s">
        <v>291</v>
      </c>
      <c r="B19" s="10" t="s">
        <v>292</v>
      </c>
      <c r="C19" s="10" t="s">
        <v>214</v>
      </c>
      <c r="D19" s="10" t="s">
        <v>133</v>
      </c>
      <c r="E19" s="10" t="s">
        <v>175</v>
      </c>
      <c r="F19" s="10" t="s">
        <v>293</v>
      </c>
      <c r="G19" s="10" t="s">
        <v>252</v>
      </c>
      <c r="H19" s="10" t="s">
        <v>253</v>
      </c>
      <c r="I19" s="10" t="s">
        <v>294</v>
      </c>
      <c r="J19" s="10" t="s">
        <v>139</v>
      </c>
      <c r="K19" s="10" t="s">
        <v>295</v>
      </c>
      <c r="L19" s="10" t="s">
        <v>296</v>
      </c>
      <c r="M19" s="10" t="s">
        <v>297</v>
      </c>
      <c r="N19" s="10">
        <v>10</v>
      </c>
      <c r="O19" s="10" t="s">
        <v>298</v>
      </c>
      <c r="P19" s="10" t="s">
        <v>259</v>
      </c>
      <c r="Q19" s="10">
        <v>1</v>
      </c>
      <c r="R19" s="10" t="b">
        <v>0</v>
      </c>
      <c r="S19" s="10" t="b">
        <v>0</v>
      </c>
      <c r="T19" s="10" t="s">
        <v>260</v>
      </c>
      <c r="U19" s="10" t="b">
        <v>1</v>
      </c>
    </row>
    <row r="20" spans="1:21" ht="22.5" customHeight="1">
      <c r="A20" s="10" t="s">
        <v>299</v>
      </c>
      <c r="B20" s="10" t="s">
        <v>300</v>
      </c>
      <c r="C20" s="10" t="s">
        <v>301</v>
      </c>
      <c r="D20" s="10" t="s">
        <v>133</v>
      </c>
      <c r="E20" s="10" t="s">
        <v>175</v>
      </c>
      <c r="F20" s="10" t="s">
        <v>302</v>
      </c>
      <c r="G20" s="10" t="s">
        <v>252</v>
      </c>
      <c r="H20" s="10" t="s">
        <v>253</v>
      </c>
      <c r="I20" s="10" t="s">
        <v>303</v>
      </c>
      <c r="J20" s="10" t="s">
        <v>139</v>
      </c>
      <c r="K20" s="10" t="s">
        <v>304</v>
      </c>
      <c r="L20" s="10" t="s">
        <v>305</v>
      </c>
      <c r="M20" s="10" t="s">
        <v>306</v>
      </c>
      <c r="N20" s="10">
        <v>10</v>
      </c>
      <c r="O20" s="10" t="s">
        <v>307</v>
      </c>
      <c r="P20" s="10" t="s">
        <v>182</v>
      </c>
      <c r="Q20" s="10">
        <v>0.95</v>
      </c>
      <c r="R20" s="10" t="b">
        <v>1</v>
      </c>
      <c r="S20" s="10" t="b">
        <v>0</v>
      </c>
      <c r="T20" s="10" t="s">
        <v>308</v>
      </c>
      <c r="U20" s="10" t="b">
        <v>1</v>
      </c>
    </row>
    <row r="21" spans="1:21" ht="22.5" customHeight="1">
      <c r="A21" s="10" t="s">
        <v>309</v>
      </c>
      <c r="B21" s="10" t="s">
        <v>310</v>
      </c>
      <c r="C21" s="10" t="s">
        <v>311</v>
      </c>
      <c r="D21" s="10" t="s">
        <v>133</v>
      </c>
      <c r="E21" s="10" t="s">
        <v>149</v>
      </c>
      <c r="F21" s="10" t="s">
        <v>312</v>
      </c>
      <c r="G21" s="10" t="s">
        <v>252</v>
      </c>
      <c r="H21" s="10" t="s">
        <v>253</v>
      </c>
      <c r="I21" s="10" t="s">
        <v>303</v>
      </c>
      <c r="J21" s="10" t="s">
        <v>139</v>
      </c>
      <c r="K21" s="10" t="s">
        <v>276</v>
      </c>
      <c r="L21" s="10" t="s">
        <v>313</v>
      </c>
      <c r="M21" s="10" t="s">
        <v>314</v>
      </c>
      <c r="N21" s="10">
        <v>10</v>
      </c>
      <c r="O21" s="10" t="s">
        <v>315</v>
      </c>
      <c r="P21" s="10" t="s">
        <v>144</v>
      </c>
      <c r="Q21" s="10">
        <v>0.55000000000000004</v>
      </c>
      <c r="R21" s="10" t="b">
        <v>1</v>
      </c>
      <c r="S21" s="10" t="b">
        <v>1</v>
      </c>
      <c r="T21" s="10" t="s">
        <v>316</v>
      </c>
      <c r="U21" s="10" t="b">
        <v>1</v>
      </c>
    </row>
    <row r="22" spans="1:21" ht="22.5" customHeight="1">
      <c r="A22" s="10" t="s">
        <v>317</v>
      </c>
      <c r="B22" s="10" t="s">
        <v>318</v>
      </c>
      <c r="C22" s="10" t="s">
        <v>319</v>
      </c>
      <c r="D22" s="10" t="s">
        <v>133</v>
      </c>
      <c r="E22" s="10" t="s">
        <v>134</v>
      </c>
      <c r="F22" s="10" t="s">
        <v>320</v>
      </c>
      <c r="G22" s="10" t="s">
        <v>252</v>
      </c>
      <c r="H22" s="10" t="s">
        <v>253</v>
      </c>
      <c r="I22" s="10" t="s">
        <v>321</v>
      </c>
      <c r="J22" s="10" t="s">
        <v>139</v>
      </c>
      <c r="K22" s="10" t="s">
        <v>266</v>
      </c>
      <c r="L22" s="10" t="s">
        <v>322</v>
      </c>
      <c r="M22" s="10" t="s">
        <v>323</v>
      </c>
      <c r="N22" s="10">
        <v>10</v>
      </c>
      <c r="O22" s="10" t="s">
        <v>324</v>
      </c>
      <c r="P22" s="10" t="s">
        <v>182</v>
      </c>
      <c r="Q22" s="10">
        <v>1</v>
      </c>
      <c r="R22" s="10" t="b">
        <v>1</v>
      </c>
      <c r="S22" s="10" t="b">
        <v>0</v>
      </c>
      <c r="T22" s="10" t="s">
        <v>325</v>
      </c>
      <c r="U22" s="10" t="b">
        <v>1</v>
      </c>
    </row>
    <row r="23" spans="1:21" ht="22.5" customHeight="1">
      <c r="A23" s="10" t="s">
        <v>326</v>
      </c>
      <c r="B23" s="10" t="s">
        <v>327</v>
      </c>
      <c r="C23" s="10" t="s">
        <v>328</v>
      </c>
      <c r="D23" s="10" t="s">
        <v>133</v>
      </c>
      <c r="E23" s="10" t="s">
        <v>175</v>
      </c>
      <c r="F23" s="10" t="s">
        <v>329</v>
      </c>
      <c r="G23" s="10" t="s">
        <v>252</v>
      </c>
      <c r="H23" s="10" t="s">
        <v>253</v>
      </c>
      <c r="I23" s="10" t="s">
        <v>321</v>
      </c>
      <c r="J23" s="10" t="s">
        <v>139</v>
      </c>
      <c r="K23" s="10" t="s">
        <v>255</v>
      </c>
      <c r="L23" s="10" t="s">
        <v>330</v>
      </c>
      <c r="M23" s="10" t="s">
        <v>331</v>
      </c>
      <c r="N23" s="10">
        <v>10</v>
      </c>
      <c r="O23" s="10" t="s">
        <v>332</v>
      </c>
      <c r="P23" s="10" t="s">
        <v>195</v>
      </c>
      <c r="Q23" s="10">
        <v>0.1</v>
      </c>
      <c r="R23" s="10" t="b">
        <v>1</v>
      </c>
      <c r="S23" s="10" t="b">
        <v>0</v>
      </c>
      <c r="T23" s="10" t="s">
        <v>333</v>
      </c>
      <c r="U23" s="10" t="b">
        <v>1</v>
      </c>
    </row>
    <row r="24" spans="1:21" ht="22.5" customHeight="1">
      <c r="A24" s="10" t="s">
        <v>334</v>
      </c>
      <c r="B24" s="10" t="s">
        <v>335</v>
      </c>
      <c r="C24" s="10">
        <v>5</v>
      </c>
      <c r="D24" s="10" t="s">
        <v>133</v>
      </c>
      <c r="E24" s="10" t="s">
        <v>134</v>
      </c>
      <c r="F24" s="10" t="s">
        <v>336</v>
      </c>
      <c r="G24" s="10" t="s">
        <v>252</v>
      </c>
      <c r="H24" s="10" t="s">
        <v>253</v>
      </c>
      <c r="I24" s="10" t="s">
        <v>265</v>
      </c>
      <c r="J24" s="10" t="s">
        <v>139</v>
      </c>
      <c r="K24" s="10" t="s">
        <v>266</v>
      </c>
      <c r="L24" s="10" t="s">
        <v>337</v>
      </c>
      <c r="M24" s="10" t="s">
        <v>338</v>
      </c>
      <c r="N24" s="10">
        <v>10</v>
      </c>
      <c r="O24" s="10" t="s">
        <v>339</v>
      </c>
      <c r="P24" s="10" t="s">
        <v>144</v>
      </c>
      <c r="Q24" s="10">
        <v>0.5</v>
      </c>
      <c r="R24" s="10" t="b">
        <v>1</v>
      </c>
      <c r="S24" s="10" t="b">
        <v>1</v>
      </c>
      <c r="T24" s="10" t="s">
        <v>340</v>
      </c>
      <c r="U24" s="10" t="b">
        <v>1</v>
      </c>
    </row>
    <row r="25" spans="1:21" ht="22.5" customHeight="1">
      <c r="A25" s="10" t="s">
        <v>341</v>
      </c>
      <c r="B25" s="10" t="s">
        <v>342</v>
      </c>
      <c r="C25" s="10" t="s">
        <v>343</v>
      </c>
      <c r="D25" s="10" t="s">
        <v>169</v>
      </c>
      <c r="E25" s="10" t="s">
        <v>175</v>
      </c>
      <c r="F25" s="10" t="s">
        <v>344</v>
      </c>
      <c r="G25" s="10" t="s">
        <v>252</v>
      </c>
      <c r="H25" s="10" t="s">
        <v>253</v>
      </c>
      <c r="I25" s="10" t="s">
        <v>321</v>
      </c>
      <c r="J25" s="10" t="s">
        <v>139</v>
      </c>
      <c r="K25" s="10" t="s">
        <v>266</v>
      </c>
      <c r="L25" s="10" t="s">
        <v>345</v>
      </c>
      <c r="M25" s="10" t="s">
        <v>331</v>
      </c>
      <c r="N25" s="10">
        <v>10</v>
      </c>
      <c r="O25" s="10" t="s">
        <v>346</v>
      </c>
      <c r="P25" s="10" t="s">
        <v>144</v>
      </c>
      <c r="Q25" s="10">
        <v>0.3</v>
      </c>
      <c r="R25" s="10" t="b">
        <v>1</v>
      </c>
      <c r="S25" s="10" t="b">
        <v>1</v>
      </c>
      <c r="T25" s="10" t="s">
        <v>347</v>
      </c>
      <c r="U25" s="10" t="b">
        <v>1</v>
      </c>
    </row>
    <row r="26" spans="1:21" ht="22.5" customHeight="1">
      <c r="A26" s="10" t="s">
        <v>348</v>
      </c>
      <c r="B26" s="10" t="s">
        <v>349</v>
      </c>
      <c r="C26" s="10" t="s">
        <v>350</v>
      </c>
      <c r="D26" s="10" t="s">
        <v>133</v>
      </c>
      <c r="E26" s="10" t="s">
        <v>157</v>
      </c>
      <c r="F26" s="10" t="s">
        <v>351</v>
      </c>
      <c r="G26" s="10" t="s">
        <v>252</v>
      </c>
      <c r="H26" s="10" t="s">
        <v>253</v>
      </c>
      <c r="I26" s="10" t="s">
        <v>321</v>
      </c>
      <c r="J26" s="10" t="s">
        <v>139</v>
      </c>
      <c r="K26" s="10" t="s">
        <v>352</v>
      </c>
      <c r="L26" s="10" t="s">
        <v>353</v>
      </c>
      <c r="M26" s="10" t="s">
        <v>354</v>
      </c>
      <c r="N26" s="10">
        <v>10</v>
      </c>
      <c r="O26" s="10" t="s">
        <v>355</v>
      </c>
      <c r="P26" s="10" t="s">
        <v>144</v>
      </c>
      <c r="Q26" s="10">
        <v>0.7</v>
      </c>
      <c r="R26" s="10" t="b">
        <v>1</v>
      </c>
      <c r="S26" s="10" t="b">
        <v>0</v>
      </c>
      <c r="T26" s="10" t="s">
        <v>356</v>
      </c>
      <c r="U26" s="10" t="b">
        <v>1</v>
      </c>
    </row>
    <row r="27" spans="1:21" ht="22.5" customHeight="1">
      <c r="A27" s="10" t="s">
        <v>357</v>
      </c>
      <c r="B27" s="10" t="s">
        <v>358</v>
      </c>
      <c r="C27" s="10" t="s">
        <v>359</v>
      </c>
      <c r="D27" s="10" t="s">
        <v>133</v>
      </c>
      <c r="E27" s="10" t="s">
        <v>149</v>
      </c>
      <c r="F27" s="10" t="s">
        <v>360</v>
      </c>
      <c r="G27" s="10" t="s">
        <v>252</v>
      </c>
      <c r="H27" s="10" t="s">
        <v>253</v>
      </c>
      <c r="I27" s="10" t="s">
        <v>321</v>
      </c>
      <c r="J27" s="10" t="s">
        <v>139</v>
      </c>
      <c r="K27" s="10" t="s">
        <v>361</v>
      </c>
      <c r="L27" s="10" t="s">
        <v>362</v>
      </c>
      <c r="M27" s="10" t="s">
        <v>363</v>
      </c>
      <c r="N27" s="10">
        <v>10</v>
      </c>
      <c r="O27" s="10" t="s">
        <v>364</v>
      </c>
      <c r="P27" s="10" t="s">
        <v>144</v>
      </c>
      <c r="Q27" s="10">
        <v>0.75</v>
      </c>
      <c r="R27" s="10" t="b">
        <v>1</v>
      </c>
      <c r="S27" s="10" t="b">
        <v>1</v>
      </c>
      <c r="T27" s="10" t="s">
        <v>365</v>
      </c>
      <c r="U27" s="10" t="b">
        <v>1</v>
      </c>
    </row>
    <row r="28" spans="1:21" ht="22.5" customHeight="1">
      <c r="A28" s="10" t="s">
        <v>366</v>
      </c>
      <c r="B28" s="10" t="s">
        <v>367</v>
      </c>
      <c r="C28" s="10" t="s">
        <v>368</v>
      </c>
      <c r="D28" s="10" t="s">
        <v>133</v>
      </c>
      <c r="E28" s="10" t="s">
        <v>149</v>
      </c>
      <c r="F28" s="10" t="s">
        <v>369</v>
      </c>
      <c r="G28" s="10" t="s">
        <v>252</v>
      </c>
      <c r="H28" s="10" t="s">
        <v>253</v>
      </c>
      <c r="I28" s="10" t="s">
        <v>370</v>
      </c>
      <c r="J28" s="10" t="s">
        <v>139</v>
      </c>
      <c r="K28" s="10" t="s">
        <v>371</v>
      </c>
      <c r="L28" s="10" t="s">
        <v>372</v>
      </c>
      <c r="M28" s="10" t="s">
        <v>373</v>
      </c>
      <c r="N28" s="10">
        <v>10</v>
      </c>
      <c r="O28" s="10" t="s">
        <v>374</v>
      </c>
      <c r="P28" s="10" t="s">
        <v>182</v>
      </c>
      <c r="Q28" s="10">
        <v>0.95</v>
      </c>
      <c r="R28" s="10" t="b">
        <v>1</v>
      </c>
      <c r="S28" s="10" t="b">
        <v>1</v>
      </c>
      <c r="T28" s="10" t="s">
        <v>375</v>
      </c>
      <c r="U28" s="10" t="b">
        <v>1</v>
      </c>
    </row>
    <row r="29" spans="1:21" ht="22.5" customHeight="1">
      <c r="A29" s="10" t="s">
        <v>376</v>
      </c>
      <c r="B29" s="10" t="s">
        <v>377</v>
      </c>
      <c r="C29" s="10" t="s">
        <v>378</v>
      </c>
      <c r="D29" s="10" t="s">
        <v>133</v>
      </c>
      <c r="E29" s="10" t="s">
        <v>149</v>
      </c>
      <c r="F29" s="10" t="s">
        <v>379</v>
      </c>
      <c r="G29" s="10" t="s">
        <v>252</v>
      </c>
      <c r="H29" s="10" t="s">
        <v>253</v>
      </c>
      <c r="I29" s="10" t="s">
        <v>370</v>
      </c>
      <c r="J29" s="10" t="s">
        <v>139</v>
      </c>
      <c r="K29" s="10" t="s">
        <v>371</v>
      </c>
      <c r="L29" s="10" t="s">
        <v>380</v>
      </c>
      <c r="M29" s="10" t="s">
        <v>381</v>
      </c>
      <c r="N29" s="10">
        <v>10</v>
      </c>
      <c r="O29" s="10" t="s">
        <v>382</v>
      </c>
      <c r="P29" s="10" t="s">
        <v>182</v>
      </c>
      <c r="Q29" s="10">
        <v>0.9</v>
      </c>
      <c r="R29" s="10" t="b">
        <v>1</v>
      </c>
      <c r="S29" s="10" t="b">
        <v>1</v>
      </c>
      <c r="T29" s="10" t="s">
        <v>383</v>
      </c>
      <c r="U29" s="10" t="b">
        <v>1</v>
      </c>
    </row>
    <row r="30" spans="1:21" ht="22.5" customHeight="1">
      <c r="A30" s="10" t="s">
        <v>384</v>
      </c>
      <c r="B30" s="10" t="s">
        <v>385</v>
      </c>
      <c r="C30" s="10" t="s">
        <v>386</v>
      </c>
      <c r="D30" s="10" t="s">
        <v>133</v>
      </c>
      <c r="E30" s="10" t="s">
        <v>387</v>
      </c>
      <c r="F30" s="10" t="s">
        <v>388</v>
      </c>
      <c r="G30" s="10" t="s">
        <v>252</v>
      </c>
      <c r="H30" s="10" t="s">
        <v>253</v>
      </c>
      <c r="I30" s="10" t="s">
        <v>321</v>
      </c>
      <c r="J30" s="10" t="s">
        <v>139</v>
      </c>
      <c r="K30" s="10" t="s">
        <v>389</v>
      </c>
      <c r="L30" s="10" t="s">
        <v>390</v>
      </c>
      <c r="M30" s="10" t="s">
        <v>391</v>
      </c>
      <c r="N30" s="10">
        <v>10</v>
      </c>
      <c r="O30" s="10" t="s">
        <v>392</v>
      </c>
      <c r="P30" s="10" t="s">
        <v>144</v>
      </c>
      <c r="Q30" s="10">
        <v>0.3</v>
      </c>
      <c r="R30" s="10" t="b">
        <v>1</v>
      </c>
      <c r="S30" s="10" t="b">
        <v>1</v>
      </c>
      <c r="T30" s="10" t="s">
        <v>393</v>
      </c>
      <c r="U30" s="10" t="b">
        <v>1</v>
      </c>
    </row>
    <row r="31" spans="1:21" ht="22.5" customHeight="1">
      <c r="A31" s="10" t="s">
        <v>394</v>
      </c>
      <c r="B31" s="10" t="s">
        <v>395</v>
      </c>
      <c r="C31" s="10" t="s">
        <v>396</v>
      </c>
      <c r="D31" s="10" t="s">
        <v>133</v>
      </c>
      <c r="E31" s="10" t="s">
        <v>387</v>
      </c>
      <c r="F31" s="10" t="s">
        <v>397</v>
      </c>
      <c r="G31" s="10" t="s">
        <v>252</v>
      </c>
      <c r="H31" s="10" t="s">
        <v>253</v>
      </c>
      <c r="I31" s="10" t="s">
        <v>398</v>
      </c>
      <c r="J31" s="10" t="s">
        <v>139</v>
      </c>
      <c r="K31" s="10" t="s">
        <v>399</v>
      </c>
      <c r="L31" s="10" t="s">
        <v>400</v>
      </c>
      <c r="M31" s="10" t="s">
        <v>401</v>
      </c>
      <c r="N31" s="10">
        <v>10</v>
      </c>
      <c r="O31" s="10" t="s">
        <v>402</v>
      </c>
      <c r="P31" s="10" t="s">
        <v>182</v>
      </c>
      <c r="Q31" s="10">
        <v>1</v>
      </c>
      <c r="R31" s="10" t="b">
        <v>1</v>
      </c>
      <c r="S31" s="10" t="b">
        <v>1</v>
      </c>
      <c r="T31" s="10" t="s">
        <v>403</v>
      </c>
      <c r="U31" s="10" t="b">
        <v>1</v>
      </c>
    </row>
    <row r="32" spans="1:21" ht="22.5" customHeight="1">
      <c r="A32" s="10" t="s">
        <v>404</v>
      </c>
      <c r="B32" s="10" t="s">
        <v>405</v>
      </c>
      <c r="C32" s="10" t="s">
        <v>406</v>
      </c>
      <c r="D32" s="10" t="s">
        <v>169</v>
      </c>
      <c r="E32" s="10" t="s">
        <v>157</v>
      </c>
      <c r="F32" s="10" t="s">
        <v>407</v>
      </c>
      <c r="G32" s="10" t="s">
        <v>408</v>
      </c>
      <c r="H32" s="10" t="s">
        <v>137</v>
      </c>
      <c r="I32" s="10" t="s">
        <v>138</v>
      </c>
      <c r="J32" s="10" t="s">
        <v>139</v>
      </c>
      <c r="K32" s="10" t="s">
        <v>409</v>
      </c>
      <c r="L32" s="10" t="s">
        <v>410</v>
      </c>
      <c r="M32" s="10" t="s">
        <v>411</v>
      </c>
      <c r="N32" s="10">
        <v>10</v>
      </c>
      <c r="O32" s="10" t="s">
        <v>412</v>
      </c>
      <c r="P32" s="10" t="s">
        <v>144</v>
      </c>
      <c r="Q32" s="10">
        <v>0.5</v>
      </c>
      <c r="R32" s="10" t="b">
        <v>1</v>
      </c>
      <c r="S32" s="10" t="b">
        <v>0</v>
      </c>
      <c r="T32" s="10" t="s">
        <v>413</v>
      </c>
      <c r="U32" s="10" t="b">
        <v>1</v>
      </c>
    </row>
    <row r="33" spans="1:21" ht="22.5" customHeight="1">
      <c r="A33" s="10" t="s">
        <v>414</v>
      </c>
      <c r="B33" s="10" t="s">
        <v>415</v>
      </c>
      <c r="C33" s="10" t="s">
        <v>214</v>
      </c>
      <c r="D33" s="10" t="s">
        <v>133</v>
      </c>
      <c r="E33" s="10" t="s">
        <v>157</v>
      </c>
      <c r="F33" s="10" t="s">
        <v>416</v>
      </c>
      <c r="G33" s="10" t="s">
        <v>252</v>
      </c>
      <c r="H33" s="10" t="s">
        <v>253</v>
      </c>
      <c r="I33" s="13" t="s">
        <v>294</v>
      </c>
      <c r="J33" s="10" t="s">
        <v>417</v>
      </c>
      <c r="K33" s="10" t="s">
        <v>418</v>
      </c>
      <c r="L33" s="10" t="s">
        <v>419</v>
      </c>
      <c r="M33" s="10" t="s">
        <v>420</v>
      </c>
      <c r="N33" s="10">
        <v>10</v>
      </c>
      <c r="O33" s="10" t="s">
        <v>421</v>
      </c>
      <c r="P33" s="10" t="s">
        <v>195</v>
      </c>
      <c r="Q33" s="10">
        <v>0</v>
      </c>
      <c r="R33" s="10" t="b">
        <v>0</v>
      </c>
      <c r="S33" s="10" t="b">
        <v>0</v>
      </c>
      <c r="T33" s="10" t="s">
        <v>422</v>
      </c>
      <c r="U33" s="10" t="b">
        <v>1</v>
      </c>
    </row>
    <row r="34" spans="1:21" ht="22.5" customHeight="1">
      <c r="A34" s="10" t="s">
        <v>423</v>
      </c>
      <c r="B34" s="10" t="s">
        <v>424</v>
      </c>
      <c r="C34" s="10">
        <v>580951.28316742706</v>
      </c>
      <c r="D34" s="10" t="s">
        <v>133</v>
      </c>
      <c r="E34" s="10" t="s">
        <v>157</v>
      </c>
      <c r="F34" s="10" t="s">
        <v>425</v>
      </c>
      <c r="G34" s="10" t="s">
        <v>159</v>
      </c>
      <c r="H34" s="10" t="s">
        <v>160</v>
      </c>
      <c r="I34" s="10" t="s">
        <v>161</v>
      </c>
      <c r="J34" s="10" t="s">
        <v>162</v>
      </c>
      <c r="K34" s="10"/>
      <c r="L34" s="10" t="s">
        <v>426</v>
      </c>
      <c r="M34" s="10"/>
      <c r="N34" s="10">
        <v>0</v>
      </c>
      <c r="O34" s="10" t="s">
        <v>427</v>
      </c>
      <c r="P34" s="10" t="s">
        <v>165</v>
      </c>
      <c r="Q34" s="10"/>
      <c r="R34" s="10" t="b">
        <v>1</v>
      </c>
      <c r="S34" s="10" t="b">
        <v>1</v>
      </c>
      <c r="T34" s="10" t="s">
        <v>166</v>
      </c>
      <c r="U34" s="10" t="b">
        <v>1</v>
      </c>
    </row>
    <row r="35" spans="1:21" ht="22.5" customHeight="1">
      <c r="A35" s="10" t="s">
        <v>428</v>
      </c>
      <c r="B35" s="10" t="s">
        <v>429</v>
      </c>
      <c r="C35" s="10">
        <v>-4393429.4255764401</v>
      </c>
      <c r="D35" s="10" t="s">
        <v>133</v>
      </c>
      <c r="E35" s="10" t="s">
        <v>157</v>
      </c>
      <c r="F35" s="10" t="s">
        <v>430</v>
      </c>
      <c r="G35" s="10" t="s">
        <v>159</v>
      </c>
      <c r="H35" s="10" t="s">
        <v>160</v>
      </c>
      <c r="I35" s="10" t="s">
        <v>161</v>
      </c>
      <c r="J35" s="10" t="s">
        <v>162</v>
      </c>
      <c r="K35" s="10"/>
      <c r="L35" s="10" t="s">
        <v>431</v>
      </c>
      <c r="M35" s="10"/>
      <c r="N35" s="10">
        <v>0</v>
      </c>
      <c r="O35" s="10" t="s">
        <v>432</v>
      </c>
      <c r="P35" s="10" t="s">
        <v>165</v>
      </c>
      <c r="Q35" s="10"/>
      <c r="R35" s="10" t="b">
        <v>1</v>
      </c>
      <c r="S35" s="10" t="b">
        <v>1</v>
      </c>
      <c r="T35" s="10" t="s">
        <v>166</v>
      </c>
      <c r="U35" s="10" t="b">
        <v>1</v>
      </c>
    </row>
    <row r="36" spans="1:21" ht="22.5" customHeight="1">
      <c r="A36" s="10" t="s">
        <v>433</v>
      </c>
      <c r="B36" s="10" t="s">
        <v>434</v>
      </c>
      <c r="C36" s="10">
        <v>8.7599999999999997E-2</v>
      </c>
      <c r="D36" s="10" t="s">
        <v>133</v>
      </c>
      <c r="E36" s="10" t="s">
        <v>157</v>
      </c>
      <c r="F36" s="10" t="s">
        <v>435</v>
      </c>
      <c r="G36" s="10" t="s">
        <v>159</v>
      </c>
      <c r="H36" s="10" t="s">
        <v>160</v>
      </c>
      <c r="I36" s="10" t="s">
        <v>161</v>
      </c>
      <c r="J36" s="10" t="s">
        <v>162</v>
      </c>
      <c r="K36" s="10"/>
      <c r="L36" s="10" t="s">
        <v>436</v>
      </c>
      <c r="M36" s="10"/>
      <c r="N36" s="10">
        <v>0</v>
      </c>
      <c r="O36" s="10" t="s">
        <v>437</v>
      </c>
      <c r="P36" s="10" t="s">
        <v>165</v>
      </c>
      <c r="Q36" s="10"/>
      <c r="R36" s="10" t="b">
        <v>1</v>
      </c>
      <c r="S36" s="10" t="b">
        <v>1</v>
      </c>
      <c r="T36" s="10" t="s">
        <v>166</v>
      </c>
      <c r="U36" s="10" t="b">
        <v>1</v>
      </c>
    </row>
    <row r="37" spans="1:21" ht="22.5" customHeight="1">
      <c r="A37" s="10" t="s">
        <v>438</v>
      </c>
      <c r="B37" s="10" t="s">
        <v>439</v>
      </c>
      <c r="C37" s="10">
        <v>-262358.72049270797</v>
      </c>
      <c r="D37" s="10" t="s">
        <v>133</v>
      </c>
      <c r="E37" s="10" t="s">
        <v>157</v>
      </c>
      <c r="F37" s="10" t="s">
        <v>440</v>
      </c>
      <c r="G37" s="10" t="s">
        <v>159</v>
      </c>
      <c r="H37" s="10" t="s">
        <v>160</v>
      </c>
      <c r="I37" s="10" t="s">
        <v>161</v>
      </c>
      <c r="J37" s="10" t="s">
        <v>162</v>
      </c>
      <c r="K37" s="10"/>
      <c r="L37" s="10" t="s">
        <v>441</v>
      </c>
      <c r="M37" s="10"/>
      <c r="N37" s="10">
        <v>0</v>
      </c>
      <c r="O37" s="10" t="s">
        <v>442</v>
      </c>
      <c r="P37" s="10" t="s">
        <v>165</v>
      </c>
      <c r="Q37" s="10"/>
      <c r="R37" s="10" t="b">
        <v>1</v>
      </c>
      <c r="S37" s="10" t="b">
        <v>1</v>
      </c>
      <c r="T37" s="10" t="s">
        <v>166</v>
      </c>
      <c r="U37" s="10" t="b">
        <v>1</v>
      </c>
    </row>
    <row r="38" spans="1:21" ht="22.5" customHeight="1">
      <c r="A38" s="10" t="s">
        <v>443</v>
      </c>
      <c r="B38" s="10" t="s">
        <v>444</v>
      </c>
      <c r="C38" s="10">
        <v>5415614.7039306303</v>
      </c>
      <c r="D38" s="10" t="s">
        <v>133</v>
      </c>
      <c r="E38" s="10" t="s">
        <v>157</v>
      </c>
      <c r="F38" s="10" t="s">
        <v>445</v>
      </c>
      <c r="G38" s="10" t="s">
        <v>159</v>
      </c>
      <c r="H38" s="10" t="s">
        <v>160</v>
      </c>
      <c r="I38" s="10" t="s">
        <v>161</v>
      </c>
      <c r="J38" s="10" t="s">
        <v>162</v>
      </c>
      <c r="K38" s="10"/>
      <c r="L38" s="10" t="s">
        <v>446</v>
      </c>
      <c r="M38" s="10"/>
      <c r="N38" s="10">
        <v>0</v>
      </c>
      <c r="O38" s="10" t="s">
        <v>447</v>
      </c>
      <c r="P38" s="10" t="s">
        <v>165</v>
      </c>
      <c r="Q38" s="10"/>
      <c r="R38" s="10" t="b">
        <v>1</v>
      </c>
      <c r="S38" s="10" t="b">
        <v>1</v>
      </c>
      <c r="T38" s="10" t="s">
        <v>166</v>
      </c>
      <c r="U38" s="10" t="b">
        <v>1</v>
      </c>
    </row>
    <row r="39" spans="1:21" ht="22.5" customHeight="1">
      <c r="A39" s="10" t="s">
        <v>448</v>
      </c>
      <c r="B39" s="10" t="s">
        <v>449</v>
      </c>
      <c r="C39" s="10" t="s">
        <v>450</v>
      </c>
      <c r="D39" s="10" t="s">
        <v>169</v>
      </c>
      <c r="E39" s="10" t="s">
        <v>157</v>
      </c>
      <c r="F39" s="10" t="s">
        <v>451</v>
      </c>
      <c r="G39" s="10" t="s">
        <v>452</v>
      </c>
      <c r="H39" s="10" t="s">
        <v>160</v>
      </c>
      <c r="I39" s="13" t="s">
        <v>453</v>
      </c>
      <c r="J39" s="10" t="s">
        <v>162</v>
      </c>
      <c r="K39" s="10" t="s">
        <v>178</v>
      </c>
      <c r="L39" s="10" t="s">
        <v>454</v>
      </c>
      <c r="M39" s="10" t="s">
        <v>455</v>
      </c>
      <c r="N39" s="10">
        <v>10</v>
      </c>
      <c r="O39" s="10" t="s">
        <v>456</v>
      </c>
      <c r="P39" s="10" t="s">
        <v>457</v>
      </c>
      <c r="Q39" s="10">
        <v>0</v>
      </c>
      <c r="R39" s="10" t="b">
        <v>1</v>
      </c>
      <c r="S39" s="10" t="b">
        <v>0</v>
      </c>
      <c r="T39" s="10" t="s">
        <v>458</v>
      </c>
      <c r="U39" s="10" t="b">
        <v>1</v>
      </c>
    </row>
    <row r="40" spans="1:21" ht="22.5" customHeight="1">
      <c r="A40" s="10" t="s">
        <v>459</v>
      </c>
      <c r="B40" s="10" t="s">
        <v>460</v>
      </c>
      <c r="C40" s="10" t="s">
        <v>461</v>
      </c>
      <c r="D40" s="10" t="s">
        <v>169</v>
      </c>
      <c r="E40" s="10" t="s">
        <v>387</v>
      </c>
      <c r="F40" s="10" t="s">
        <v>462</v>
      </c>
      <c r="G40" s="10" t="s">
        <v>463</v>
      </c>
      <c r="H40" s="10" t="s">
        <v>464</v>
      </c>
      <c r="I40" s="9" t="s">
        <v>465</v>
      </c>
      <c r="J40" s="10" t="s">
        <v>466</v>
      </c>
      <c r="K40" s="10" t="s">
        <v>178</v>
      </c>
      <c r="L40" s="10" t="s">
        <v>467</v>
      </c>
      <c r="M40" s="10"/>
      <c r="N40" s="10">
        <v>10</v>
      </c>
      <c r="O40" s="10" t="s">
        <v>468</v>
      </c>
      <c r="P40" s="10" t="s">
        <v>165</v>
      </c>
      <c r="Q40" s="10"/>
      <c r="R40" s="10" t="b">
        <v>1</v>
      </c>
      <c r="S40" s="10" t="b">
        <v>1</v>
      </c>
      <c r="T40" s="10" t="s">
        <v>166</v>
      </c>
      <c r="U40" s="10" t="b">
        <v>1</v>
      </c>
    </row>
    <row r="41" spans="1:21" ht="22.5" customHeight="1">
      <c r="A41" s="10" t="s">
        <v>469</v>
      </c>
      <c r="B41" s="10" t="s">
        <v>470</v>
      </c>
      <c r="C41" s="10" t="s">
        <v>214</v>
      </c>
      <c r="D41" s="10" t="s">
        <v>169</v>
      </c>
      <c r="E41" s="10" t="s">
        <v>387</v>
      </c>
      <c r="F41" s="10" t="s">
        <v>471</v>
      </c>
      <c r="G41" s="10" t="s">
        <v>472</v>
      </c>
      <c r="H41" s="10" t="s">
        <v>473</v>
      </c>
      <c r="I41" s="9" t="s">
        <v>465</v>
      </c>
      <c r="J41" s="10" t="s">
        <v>466</v>
      </c>
      <c r="K41" s="10" t="s">
        <v>178</v>
      </c>
      <c r="L41" s="10" t="s">
        <v>474</v>
      </c>
      <c r="M41" s="10" t="s">
        <v>475</v>
      </c>
      <c r="N41" s="10">
        <v>10</v>
      </c>
      <c r="O41" s="10" t="s">
        <v>476</v>
      </c>
      <c r="P41" s="10" t="s">
        <v>195</v>
      </c>
      <c r="Q41" s="10">
        <v>0</v>
      </c>
      <c r="R41" s="10" t="b">
        <v>0</v>
      </c>
      <c r="S41" s="10" t="b">
        <v>0</v>
      </c>
      <c r="T41" s="10" t="s">
        <v>422</v>
      </c>
      <c r="U41" s="10" t="b">
        <v>1</v>
      </c>
    </row>
    <row r="42" spans="1:21" ht="22.5" customHeight="1">
      <c r="A42" s="10" t="s">
        <v>477</v>
      </c>
      <c r="B42" s="10" t="s">
        <v>478</v>
      </c>
      <c r="C42" s="10" t="s">
        <v>214</v>
      </c>
      <c r="D42" s="10" t="s">
        <v>169</v>
      </c>
      <c r="E42" s="10" t="s">
        <v>134</v>
      </c>
      <c r="F42" s="10" t="s">
        <v>479</v>
      </c>
      <c r="G42" s="10" t="s">
        <v>480</v>
      </c>
      <c r="H42" s="10" t="s">
        <v>160</v>
      </c>
      <c r="I42" s="9" t="s">
        <v>321</v>
      </c>
      <c r="J42" s="10" t="s">
        <v>139</v>
      </c>
      <c r="K42" s="10" t="s">
        <v>178</v>
      </c>
      <c r="L42" s="10" t="s">
        <v>481</v>
      </c>
      <c r="M42" s="10" t="s">
        <v>482</v>
      </c>
      <c r="N42" s="10">
        <v>10</v>
      </c>
      <c r="O42" s="10" t="s">
        <v>483</v>
      </c>
      <c r="P42" s="10" t="s">
        <v>195</v>
      </c>
      <c r="Q42" s="10">
        <v>0</v>
      </c>
      <c r="R42" s="10" t="b">
        <v>0</v>
      </c>
      <c r="S42" s="10" t="b">
        <v>0</v>
      </c>
      <c r="T42" s="10" t="s">
        <v>422</v>
      </c>
      <c r="U42" s="10" t="b">
        <v>1</v>
      </c>
    </row>
    <row r="43" spans="1:21" ht="22.5" customHeight="1">
      <c r="A43" s="10" t="s">
        <v>484</v>
      </c>
      <c r="B43" s="10" t="s">
        <v>485</v>
      </c>
      <c r="C43" s="10" t="s">
        <v>486</v>
      </c>
      <c r="D43" s="10" t="s">
        <v>133</v>
      </c>
      <c r="E43" s="10" t="s">
        <v>387</v>
      </c>
      <c r="F43" s="10" t="s">
        <v>487</v>
      </c>
      <c r="G43" s="10" t="s">
        <v>136</v>
      </c>
      <c r="H43" s="10" t="s">
        <v>137</v>
      </c>
      <c r="I43" s="10" t="s">
        <v>138</v>
      </c>
      <c r="J43" s="10" t="s">
        <v>139</v>
      </c>
      <c r="K43" s="10" t="s">
        <v>178</v>
      </c>
      <c r="L43" s="10" t="s">
        <v>488</v>
      </c>
      <c r="M43" s="10" t="s">
        <v>489</v>
      </c>
      <c r="N43" s="10">
        <v>10</v>
      </c>
      <c r="O43" s="10" t="s">
        <v>490</v>
      </c>
      <c r="P43" s="10" t="s">
        <v>144</v>
      </c>
      <c r="Q43" s="10">
        <v>0.3</v>
      </c>
      <c r="R43" s="10" t="b">
        <v>1</v>
      </c>
      <c r="S43" s="10" t="b">
        <v>1</v>
      </c>
      <c r="T43" s="10" t="s">
        <v>491</v>
      </c>
      <c r="U43" s="10" t="b">
        <v>1</v>
      </c>
    </row>
    <row r="44" spans="1:21" ht="22.5" customHeight="1">
      <c r="A44" s="10" t="s">
        <v>492</v>
      </c>
      <c r="B44" s="10" t="s">
        <v>493</v>
      </c>
      <c r="C44" s="10">
        <v>18</v>
      </c>
      <c r="D44" s="10" t="s">
        <v>169</v>
      </c>
      <c r="E44" s="10" t="s">
        <v>134</v>
      </c>
      <c r="F44" s="10" t="s">
        <v>494</v>
      </c>
      <c r="G44" s="10" t="s">
        <v>495</v>
      </c>
      <c r="H44" s="10" t="s">
        <v>189</v>
      </c>
      <c r="I44" s="10" t="s">
        <v>177</v>
      </c>
      <c r="J44" s="10" t="s">
        <v>162</v>
      </c>
      <c r="K44" s="10" t="s">
        <v>178</v>
      </c>
      <c r="L44" s="10" t="s">
        <v>496</v>
      </c>
      <c r="M44" s="10" t="s">
        <v>497</v>
      </c>
      <c r="N44" s="10">
        <v>10</v>
      </c>
      <c r="O44" s="10" t="s">
        <v>498</v>
      </c>
      <c r="P44" s="10" t="s">
        <v>195</v>
      </c>
      <c r="Q44" s="10">
        <v>0.1</v>
      </c>
      <c r="R44" s="10" t="b">
        <v>1</v>
      </c>
      <c r="S44" s="10" t="b">
        <v>1</v>
      </c>
      <c r="T44" s="10" t="s">
        <v>499</v>
      </c>
      <c r="U44" s="10" t="b">
        <v>1</v>
      </c>
    </row>
    <row r="45" spans="1:21" ht="22.5" customHeight="1">
      <c r="A45" s="10" t="s">
        <v>500</v>
      </c>
      <c r="B45" s="10" t="s">
        <v>501</v>
      </c>
      <c r="C45" s="10" t="s">
        <v>502</v>
      </c>
      <c r="D45" s="10" t="s">
        <v>169</v>
      </c>
      <c r="E45" s="10" t="s">
        <v>157</v>
      </c>
      <c r="F45" s="10" t="s">
        <v>503</v>
      </c>
      <c r="G45" s="10" t="s">
        <v>252</v>
      </c>
      <c r="H45" s="10" t="s">
        <v>253</v>
      </c>
      <c r="I45" s="10" t="s">
        <v>265</v>
      </c>
      <c r="J45" s="10" t="s">
        <v>139</v>
      </c>
      <c r="K45" s="10" t="s">
        <v>504</v>
      </c>
      <c r="L45" s="10" t="s">
        <v>505</v>
      </c>
      <c r="M45" s="10" t="s">
        <v>506</v>
      </c>
      <c r="N45" s="10">
        <v>10</v>
      </c>
      <c r="O45" s="10" t="s">
        <v>507</v>
      </c>
      <c r="P45" s="10" t="s">
        <v>182</v>
      </c>
      <c r="Q45" s="10">
        <v>0.95</v>
      </c>
      <c r="R45" s="10" t="b">
        <v>1</v>
      </c>
      <c r="S45" s="10" t="b">
        <v>0</v>
      </c>
      <c r="T45" s="10" t="s">
        <v>508</v>
      </c>
      <c r="U45" s="10" t="b">
        <v>1</v>
      </c>
    </row>
    <row r="46" spans="1:21" ht="22.5" customHeight="1">
      <c r="A46" s="10" t="s">
        <v>509</v>
      </c>
      <c r="B46" s="10" t="s">
        <v>510</v>
      </c>
      <c r="C46" s="14">
        <v>0.1</v>
      </c>
      <c r="D46" s="10" t="s">
        <v>133</v>
      </c>
      <c r="E46" s="10" t="s">
        <v>149</v>
      </c>
      <c r="F46" s="10" t="s">
        <v>511</v>
      </c>
      <c r="G46" s="10" t="s">
        <v>495</v>
      </c>
      <c r="H46" s="10" t="s">
        <v>189</v>
      </c>
      <c r="I46" s="10" t="s">
        <v>177</v>
      </c>
      <c r="J46" s="10" t="s">
        <v>162</v>
      </c>
      <c r="K46" s="10" t="s">
        <v>178</v>
      </c>
      <c r="L46" s="10" t="s">
        <v>512</v>
      </c>
      <c r="M46" s="10" t="s">
        <v>513</v>
      </c>
      <c r="N46" s="10">
        <v>10</v>
      </c>
      <c r="O46" s="10" t="s">
        <v>514</v>
      </c>
      <c r="P46" s="10" t="s">
        <v>182</v>
      </c>
      <c r="Q46" s="10">
        <v>1</v>
      </c>
      <c r="R46" s="10" t="b">
        <v>1</v>
      </c>
      <c r="S46" s="10" t="b">
        <v>1</v>
      </c>
      <c r="T46" s="10" t="s">
        <v>515</v>
      </c>
      <c r="U46" s="10" t="b">
        <v>1</v>
      </c>
    </row>
    <row r="47" spans="1:21" ht="22.5" customHeight="1">
      <c r="A47" s="10" t="s">
        <v>516</v>
      </c>
      <c r="B47" s="10" t="s">
        <v>517</v>
      </c>
      <c r="C47" s="10" t="s">
        <v>518</v>
      </c>
      <c r="D47" s="10" t="s">
        <v>133</v>
      </c>
      <c r="E47" s="10" t="s">
        <v>157</v>
      </c>
      <c r="F47" s="10" t="s">
        <v>519</v>
      </c>
      <c r="G47" s="10" t="s">
        <v>252</v>
      </c>
      <c r="H47" s="10" t="s">
        <v>253</v>
      </c>
      <c r="I47" s="10" t="s">
        <v>370</v>
      </c>
      <c r="J47" s="10" t="s">
        <v>139</v>
      </c>
      <c r="K47" s="10" t="s">
        <v>520</v>
      </c>
      <c r="L47" s="10" t="s">
        <v>521</v>
      </c>
      <c r="M47" s="10" t="s">
        <v>522</v>
      </c>
      <c r="N47" s="10">
        <v>10</v>
      </c>
      <c r="O47" s="10" t="s">
        <v>523</v>
      </c>
      <c r="P47" s="10" t="s">
        <v>144</v>
      </c>
      <c r="Q47" s="10">
        <v>0.6</v>
      </c>
      <c r="R47" s="10" t="b">
        <v>1</v>
      </c>
      <c r="S47" s="10" t="b">
        <v>0</v>
      </c>
      <c r="T47" s="10" t="s">
        <v>524</v>
      </c>
      <c r="U47" s="10" t="b">
        <v>1</v>
      </c>
    </row>
    <row r="48" spans="1:21" ht="22.5" customHeight="1">
      <c r="A48" s="10" t="s">
        <v>525</v>
      </c>
      <c r="B48" s="10" t="s">
        <v>526</v>
      </c>
      <c r="C48" s="10" t="s">
        <v>527</v>
      </c>
      <c r="D48" s="10" t="s">
        <v>133</v>
      </c>
      <c r="E48" s="10" t="s">
        <v>149</v>
      </c>
      <c r="F48" s="10" t="s">
        <v>528</v>
      </c>
      <c r="G48" s="10" t="s">
        <v>495</v>
      </c>
      <c r="H48" s="10" t="s">
        <v>189</v>
      </c>
      <c r="I48" s="10" t="s">
        <v>529</v>
      </c>
      <c r="J48" s="10" t="s">
        <v>162</v>
      </c>
      <c r="K48" s="10" t="s">
        <v>178</v>
      </c>
      <c r="L48" s="10" t="s">
        <v>530</v>
      </c>
      <c r="M48" s="10" t="s">
        <v>531</v>
      </c>
      <c r="N48" s="10">
        <v>10</v>
      </c>
      <c r="O48" s="10" t="s">
        <v>532</v>
      </c>
      <c r="P48" s="10" t="s">
        <v>182</v>
      </c>
      <c r="Q48" s="10">
        <v>0.95</v>
      </c>
      <c r="R48" s="10" t="b">
        <v>1</v>
      </c>
      <c r="S48" s="10" t="b">
        <v>1</v>
      </c>
      <c r="T48" s="10" t="s">
        <v>533</v>
      </c>
      <c r="U48" s="10" t="b">
        <v>1</v>
      </c>
    </row>
    <row r="49" spans="1:21" ht="22.5" customHeight="1">
      <c r="A49" s="10" t="s">
        <v>534</v>
      </c>
      <c r="B49" s="10" t="s">
        <v>535</v>
      </c>
      <c r="C49" s="10" t="s">
        <v>536</v>
      </c>
      <c r="D49" s="10" t="s">
        <v>133</v>
      </c>
      <c r="E49" s="10" t="s">
        <v>149</v>
      </c>
      <c r="F49" s="10" t="s">
        <v>537</v>
      </c>
      <c r="G49" s="10" t="s">
        <v>495</v>
      </c>
      <c r="H49" s="10" t="s">
        <v>189</v>
      </c>
      <c r="I49" s="10" t="s">
        <v>161</v>
      </c>
      <c r="J49" s="10" t="s">
        <v>162</v>
      </c>
      <c r="K49" s="10" t="s">
        <v>178</v>
      </c>
      <c r="L49" s="10" t="s">
        <v>538</v>
      </c>
      <c r="M49" s="10" t="s">
        <v>539</v>
      </c>
      <c r="N49" s="10">
        <v>10</v>
      </c>
      <c r="O49" s="10" t="s">
        <v>540</v>
      </c>
      <c r="P49" s="10" t="s">
        <v>195</v>
      </c>
      <c r="Q49" s="10">
        <v>0.2</v>
      </c>
      <c r="R49" s="10" t="b">
        <v>1</v>
      </c>
      <c r="S49" s="10" t="b">
        <v>1</v>
      </c>
      <c r="T49" s="10" t="s">
        <v>541</v>
      </c>
      <c r="U49" s="10" t="b">
        <v>1</v>
      </c>
    </row>
    <row r="50" spans="1:21" ht="22.5" customHeight="1">
      <c r="A50" s="10" t="s">
        <v>542</v>
      </c>
      <c r="B50" s="10" t="s">
        <v>543</v>
      </c>
      <c r="C50" s="10" t="s">
        <v>544</v>
      </c>
      <c r="D50" s="10" t="s">
        <v>133</v>
      </c>
      <c r="E50" s="10" t="s">
        <v>157</v>
      </c>
      <c r="F50" s="10" t="s">
        <v>545</v>
      </c>
      <c r="G50" s="10" t="s">
        <v>252</v>
      </c>
      <c r="H50" s="10" t="s">
        <v>253</v>
      </c>
      <c r="I50" s="10" t="s">
        <v>285</v>
      </c>
      <c r="J50" s="10" t="s">
        <v>139</v>
      </c>
      <c r="K50" s="10" t="s">
        <v>546</v>
      </c>
      <c r="L50" s="10" t="s">
        <v>547</v>
      </c>
      <c r="M50" s="10" t="s">
        <v>548</v>
      </c>
      <c r="N50" s="10">
        <v>10</v>
      </c>
      <c r="O50" s="10" t="s">
        <v>549</v>
      </c>
      <c r="P50" s="10" t="s">
        <v>144</v>
      </c>
      <c r="Q50" s="10">
        <v>0.5</v>
      </c>
      <c r="R50" s="10" t="b">
        <v>1</v>
      </c>
      <c r="S50" s="10" t="b">
        <v>0</v>
      </c>
      <c r="T50" s="10" t="s">
        <v>550</v>
      </c>
      <c r="U50" s="10" t="b">
        <v>1</v>
      </c>
    </row>
    <row r="51" spans="1:21" ht="22.5" customHeight="1">
      <c r="A51" s="10" t="s">
        <v>551</v>
      </c>
      <c r="B51" s="10" t="s">
        <v>552</v>
      </c>
      <c r="C51" s="10" t="s">
        <v>553</v>
      </c>
      <c r="D51" s="10" t="s">
        <v>133</v>
      </c>
      <c r="E51" s="10" t="s">
        <v>387</v>
      </c>
      <c r="F51" s="10" t="s">
        <v>554</v>
      </c>
      <c r="G51" s="10" t="s">
        <v>472</v>
      </c>
      <c r="H51" s="10" t="s">
        <v>473</v>
      </c>
      <c r="I51" s="10" t="s">
        <v>321</v>
      </c>
      <c r="J51" s="10" t="s">
        <v>139</v>
      </c>
      <c r="K51" s="10" t="s">
        <v>555</v>
      </c>
      <c r="L51" s="10" t="s">
        <v>556</v>
      </c>
      <c r="M51" s="10" t="s">
        <v>557</v>
      </c>
      <c r="N51" s="10">
        <v>10</v>
      </c>
      <c r="O51" s="10" t="s">
        <v>558</v>
      </c>
      <c r="P51" s="10" t="s">
        <v>144</v>
      </c>
      <c r="Q51" s="10">
        <v>0.35</v>
      </c>
      <c r="R51" s="10" t="b">
        <v>1</v>
      </c>
      <c r="S51" s="10" t="b">
        <v>1</v>
      </c>
      <c r="T51" s="10" t="s">
        <v>559</v>
      </c>
      <c r="U51" s="10" t="b">
        <v>1</v>
      </c>
    </row>
    <row r="52" spans="1:21" ht="22.5" customHeight="1">
      <c r="A52" s="10" t="s">
        <v>560</v>
      </c>
      <c r="B52" s="10" t="s">
        <v>561</v>
      </c>
      <c r="C52" s="10" t="s">
        <v>562</v>
      </c>
      <c r="D52" s="10" t="s">
        <v>133</v>
      </c>
      <c r="E52" s="10" t="s">
        <v>149</v>
      </c>
      <c r="F52" s="10" t="s">
        <v>563</v>
      </c>
      <c r="G52" s="10" t="s">
        <v>472</v>
      </c>
      <c r="H52" s="10" t="s">
        <v>473</v>
      </c>
      <c r="I52" s="10" t="s">
        <v>321</v>
      </c>
      <c r="J52" s="10" t="s">
        <v>139</v>
      </c>
      <c r="K52" s="10"/>
      <c r="L52" s="10" t="s">
        <v>564</v>
      </c>
      <c r="M52" s="10" t="s">
        <v>565</v>
      </c>
      <c r="N52" s="10">
        <v>10</v>
      </c>
      <c r="O52" s="10" t="s">
        <v>566</v>
      </c>
      <c r="P52" s="10" t="s">
        <v>195</v>
      </c>
      <c r="Q52" s="10">
        <v>0.2</v>
      </c>
      <c r="R52" s="10" t="b">
        <v>1</v>
      </c>
      <c r="S52" s="10" t="b">
        <v>1</v>
      </c>
      <c r="T52" s="10" t="s">
        <v>567</v>
      </c>
      <c r="U52" s="10" t="b">
        <v>1</v>
      </c>
    </row>
    <row r="53" spans="1:21" ht="22.5" customHeight="1">
      <c r="A53" s="10" t="s">
        <v>568</v>
      </c>
      <c r="B53" s="10" t="s">
        <v>569</v>
      </c>
      <c r="C53" s="10">
        <v>2</v>
      </c>
      <c r="D53" s="10" t="s">
        <v>169</v>
      </c>
      <c r="E53" s="10" t="s">
        <v>134</v>
      </c>
      <c r="F53" s="10" t="s">
        <v>570</v>
      </c>
      <c r="G53" s="10" t="s">
        <v>408</v>
      </c>
      <c r="H53" s="10" t="s">
        <v>137</v>
      </c>
      <c r="I53" s="10" t="s">
        <v>138</v>
      </c>
      <c r="J53" s="10" t="s">
        <v>139</v>
      </c>
      <c r="K53" s="10" t="s">
        <v>178</v>
      </c>
      <c r="L53" s="10" t="s">
        <v>571</v>
      </c>
      <c r="M53" s="10">
        <v>2</v>
      </c>
      <c r="N53" s="10">
        <v>10</v>
      </c>
      <c r="O53" s="10" t="s">
        <v>572</v>
      </c>
      <c r="P53" s="10" t="s">
        <v>182</v>
      </c>
      <c r="Q53" s="10">
        <v>1</v>
      </c>
      <c r="R53" s="10" t="b">
        <v>1</v>
      </c>
      <c r="S53" s="10" t="b">
        <v>1</v>
      </c>
      <c r="T53" s="10" t="s">
        <v>573</v>
      </c>
      <c r="U53" s="10" t="b">
        <v>1</v>
      </c>
    </row>
    <row r="54" spans="1:21" ht="22.5" customHeight="1">
      <c r="A54" s="10" t="s">
        <v>574</v>
      </c>
      <c r="B54" s="10" t="s">
        <v>575</v>
      </c>
      <c r="C54" s="10">
        <v>2</v>
      </c>
      <c r="D54" s="10" t="s">
        <v>133</v>
      </c>
      <c r="E54" s="10" t="s">
        <v>134</v>
      </c>
      <c r="F54" s="10" t="s">
        <v>576</v>
      </c>
      <c r="G54" s="10" t="s">
        <v>252</v>
      </c>
      <c r="H54" s="10" t="s">
        <v>253</v>
      </c>
      <c r="I54" s="10" t="s">
        <v>398</v>
      </c>
      <c r="J54" s="10" t="s">
        <v>139</v>
      </c>
      <c r="K54" s="10"/>
      <c r="L54" s="10" t="s">
        <v>577</v>
      </c>
      <c r="M54" s="10"/>
      <c r="N54" s="10">
        <v>0</v>
      </c>
      <c r="O54" s="10" t="s">
        <v>578</v>
      </c>
      <c r="P54" s="10" t="s">
        <v>165</v>
      </c>
      <c r="Q54" s="10"/>
      <c r="R54" s="10" t="b">
        <v>1</v>
      </c>
      <c r="S54" s="10" t="b">
        <v>1</v>
      </c>
      <c r="T54" s="10" t="s">
        <v>166</v>
      </c>
      <c r="U54" s="10" t="b">
        <v>1</v>
      </c>
    </row>
    <row r="55" spans="1:21" ht="22.5" customHeight="1">
      <c r="A55" s="10" t="s">
        <v>579</v>
      </c>
      <c r="B55" s="10" t="s">
        <v>580</v>
      </c>
      <c r="C55" s="10">
        <v>2</v>
      </c>
      <c r="D55" s="10" t="s">
        <v>169</v>
      </c>
      <c r="E55" s="10" t="s">
        <v>134</v>
      </c>
      <c r="F55" s="10" t="s">
        <v>581</v>
      </c>
      <c r="G55" s="10" t="s">
        <v>463</v>
      </c>
      <c r="H55" s="10" t="s">
        <v>464</v>
      </c>
      <c r="I55" s="10" t="s">
        <v>465</v>
      </c>
      <c r="J55" s="10" t="s">
        <v>466</v>
      </c>
      <c r="K55" s="10" t="s">
        <v>178</v>
      </c>
      <c r="L55" s="10" t="s">
        <v>582</v>
      </c>
      <c r="M55" s="10">
        <v>5</v>
      </c>
      <c r="N55" s="10">
        <v>10</v>
      </c>
      <c r="O55" s="10" t="s">
        <v>583</v>
      </c>
      <c r="P55" s="10" t="s">
        <v>195</v>
      </c>
      <c r="Q55" s="10">
        <v>0.1</v>
      </c>
      <c r="R55" s="10" t="b">
        <v>1</v>
      </c>
      <c r="S55" s="10" t="b">
        <v>1</v>
      </c>
      <c r="T55" s="10" t="s">
        <v>584</v>
      </c>
      <c r="U55" s="10" t="b">
        <v>1</v>
      </c>
    </row>
    <row r="56" spans="1:21" ht="22.5" customHeight="1">
      <c r="A56" s="10" t="s">
        <v>585</v>
      </c>
      <c r="B56" s="10" t="s">
        <v>586</v>
      </c>
      <c r="C56" s="10">
        <v>2</v>
      </c>
      <c r="D56" s="10" t="s">
        <v>169</v>
      </c>
      <c r="E56" s="10" t="s">
        <v>149</v>
      </c>
      <c r="F56" s="10" t="s">
        <v>587</v>
      </c>
      <c r="G56" s="10" t="s">
        <v>463</v>
      </c>
      <c r="H56" s="10" t="s">
        <v>464</v>
      </c>
      <c r="I56" s="10" t="s">
        <v>465</v>
      </c>
      <c r="J56" s="10" t="s">
        <v>466</v>
      </c>
      <c r="K56" s="10" t="s">
        <v>178</v>
      </c>
      <c r="L56" s="10" t="s">
        <v>588</v>
      </c>
      <c r="M56" s="10">
        <v>5</v>
      </c>
      <c r="N56" s="10">
        <v>10</v>
      </c>
      <c r="O56" s="10" t="s">
        <v>589</v>
      </c>
      <c r="P56" s="10" t="s">
        <v>195</v>
      </c>
      <c r="Q56" s="10">
        <v>0</v>
      </c>
      <c r="R56" s="10" t="b">
        <v>1</v>
      </c>
      <c r="S56" s="10" t="b">
        <v>1</v>
      </c>
      <c r="T56" s="10" t="s">
        <v>590</v>
      </c>
      <c r="U56" s="10" t="b">
        <v>1</v>
      </c>
    </row>
    <row r="57" spans="1:21" ht="22.5" customHeight="1">
      <c r="A57" s="10" t="s">
        <v>591</v>
      </c>
      <c r="B57" s="10" t="s">
        <v>592</v>
      </c>
      <c r="C57" s="10" t="s">
        <v>214</v>
      </c>
      <c r="D57" s="10" t="s">
        <v>133</v>
      </c>
      <c r="E57" s="10" t="s">
        <v>134</v>
      </c>
      <c r="F57" s="10" t="s">
        <v>593</v>
      </c>
      <c r="G57" s="10" t="s">
        <v>472</v>
      </c>
      <c r="H57" s="10" t="s">
        <v>473</v>
      </c>
      <c r="I57" s="10" t="s">
        <v>465</v>
      </c>
      <c r="J57" s="10" t="s">
        <v>466</v>
      </c>
      <c r="K57" s="10" t="s">
        <v>178</v>
      </c>
      <c r="L57" s="10" t="s">
        <v>594</v>
      </c>
      <c r="M57" s="10">
        <v>11</v>
      </c>
      <c r="N57" s="10">
        <v>10</v>
      </c>
      <c r="O57" s="10" t="s">
        <v>595</v>
      </c>
      <c r="P57" s="10" t="s">
        <v>195</v>
      </c>
      <c r="Q57" s="10">
        <v>0</v>
      </c>
      <c r="R57" s="10" t="b">
        <v>0</v>
      </c>
      <c r="S57" s="10" t="b">
        <v>0</v>
      </c>
      <c r="T57" s="10" t="s">
        <v>422</v>
      </c>
      <c r="U57" s="10" t="b">
        <v>1</v>
      </c>
    </row>
    <row r="58" spans="1:21" ht="22.5" customHeight="1">
      <c r="A58" s="10" t="s">
        <v>596</v>
      </c>
      <c r="B58" s="10" t="s">
        <v>597</v>
      </c>
      <c r="C58" s="10" t="s">
        <v>214</v>
      </c>
      <c r="D58" s="10" t="s">
        <v>169</v>
      </c>
      <c r="E58" s="10" t="s">
        <v>134</v>
      </c>
      <c r="F58" s="10" t="s">
        <v>598</v>
      </c>
      <c r="G58" s="10" t="s">
        <v>136</v>
      </c>
      <c r="H58" s="10" t="s">
        <v>137</v>
      </c>
      <c r="I58" s="15" t="s">
        <v>138</v>
      </c>
      <c r="J58" s="10" t="s">
        <v>139</v>
      </c>
      <c r="K58" s="10" t="s">
        <v>178</v>
      </c>
      <c r="L58" s="10" t="s">
        <v>599</v>
      </c>
      <c r="M58" s="10">
        <v>2</v>
      </c>
      <c r="N58" s="10">
        <v>10</v>
      </c>
      <c r="O58" s="10" t="s">
        <v>600</v>
      </c>
      <c r="P58" s="10" t="s">
        <v>195</v>
      </c>
      <c r="Q58" s="10">
        <v>0</v>
      </c>
      <c r="R58" s="10" t="b">
        <v>0</v>
      </c>
      <c r="S58" s="10" t="b">
        <v>0</v>
      </c>
      <c r="T58" s="10" t="s">
        <v>422</v>
      </c>
      <c r="U58" s="10" t="b">
        <v>1</v>
      </c>
    </row>
    <row r="59" spans="1:21" ht="22.5" customHeight="1">
      <c r="A59" s="10" t="s">
        <v>601</v>
      </c>
      <c r="B59" s="10" t="s">
        <v>602</v>
      </c>
      <c r="C59" s="10">
        <v>2</v>
      </c>
      <c r="D59" s="10" t="s">
        <v>133</v>
      </c>
      <c r="E59" s="10" t="s">
        <v>134</v>
      </c>
      <c r="F59" s="10" t="s">
        <v>603</v>
      </c>
      <c r="G59" s="10" t="s">
        <v>252</v>
      </c>
      <c r="H59" s="10" t="s">
        <v>253</v>
      </c>
      <c r="I59" s="16" t="s">
        <v>398</v>
      </c>
      <c r="J59" s="10" t="s">
        <v>139</v>
      </c>
      <c r="K59" s="10"/>
      <c r="L59" s="10" t="s">
        <v>604</v>
      </c>
      <c r="M59" s="10"/>
      <c r="N59" s="10">
        <v>0</v>
      </c>
      <c r="O59" s="10" t="s">
        <v>605</v>
      </c>
      <c r="P59" s="10" t="s">
        <v>165</v>
      </c>
      <c r="Q59" s="10"/>
      <c r="R59" s="10" t="b">
        <v>1</v>
      </c>
      <c r="S59" s="10" t="b">
        <v>1</v>
      </c>
      <c r="T59" s="10" t="s">
        <v>166</v>
      </c>
      <c r="U59" s="10" t="b">
        <v>1</v>
      </c>
    </row>
    <row r="60" spans="1:21" ht="22.5" customHeight="1">
      <c r="A60" s="10" t="s">
        <v>606</v>
      </c>
      <c r="B60" s="10" t="s">
        <v>607</v>
      </c>
      <c r="C60" s="10" t="s">
        <v>608</v>
      </c>
      <c r="D60" s="10" t="s">
        <v>133</v>
      </c>
      <c r="E60" s="10" t="s">
        <v>387</v>
      </c>
      <c r="F60" s="10" t="s">
        <v>609</v>
      </c>
      <c r="G60" s="10" t="s">
        <v>463</v>
      </c>
      <c r="H60" s="10" t="s">
        <v>464</v>
      </c>
      <c r="I60" s="15" t="s">
        <v>465</v>
      </c>
      <c r="J60" s="10" t="s">
        <v>466</v>
      </c>
      <c r="K60" s="10" t="s">
        <v>178</v>
      </c>
      <c r="L60" s="10" t="s">
        <v>610</v>
      </c>
      <c r="M60" s="10" t="s">
        <v>611</v>
      </c>
      <c r="N60" s="10">
        <v>10</v>
      </c>
      <c r="O60" s="10" t="s">
        <v>612</v>
      </c>
      <c r="P60" s="10" t="s">
        <v>144</v>
      </c>
      <c r="Q60" s="10">
        <v>0.4</v>
      </c>
      <c r="R60" s="10" t="b">
        <v>1</v>
      </c>
      <c r="S60" s="10" t="b">
        <v>1</v>
      </c>
      <c r="T60" s="10" t="s">
        <v>613</v>
      </c>
      <c r="U60" s="10" t="b">
        <v>1</v>
      </c>
    </row>
    <row r="61" spans="1:21" ht="22.5" customHeight="1">
      <c r="A61" s="10" t="s">
        <v>614</v>
      </c>
      <c r="B61" s="10" t="s">
        <v>615</v>
      </c>
      <c r="C61" s="10" t="s">
        <v>616</v>
      </c>
      <c r="D61" s="10" t="s">
        <v>133</v>
      </c>
      <c r="E61" s="10" t="s">
        <v>149</v>
      </c>
      <c r="F61" s="10" t="s">
        <v>617</v>
      </c>
      <c r="G61" s="10" t="s">
        <v>463</v>
      </c>
      <c r="H61" s="10" t="s">
        <v>464</v>
      </c>
      <c r="I61" s="16" t="s">
        <v>618</v>
      </c>
      <c r="J61" s="10" t="s">
        <v>466</v>
      </c>
      <c r="K61" s="10" t="s">
        <v>619</v>
      </c>
      <c r="L61" s="10" t="s">
        <v>620</v>
      </c>
      <c r="M61" s="10" t="s">
        <v>621</v>
      </c>
      <c r="N61" s="10">
        <v>10</v>
      </c>
      <c r="O61" s="10" t="s">
        <v>622</v>
      </c>
      <c r="P61" s="10" t="s">
        <v>144</v>
      </c>
      <c r="Q61" s="10">
        <v>0.55000000000000004</v>
      </c>
      <c r="R61" s="10" t="b">
        <v>1</v>
      </c>
      <c r="S61" s="10" t="b">
        <v>1</v>
      </c>
      <c r="T61" s="10" t="s">
        <v>623</v>
      </c>
      <c r="U61" s="10" t="b">
        <v>1</v>
      </c>
    </row>
    <row r="62" spans="1:21" ht="22.5" customHeight="1">
      <c r="A62" s="10" t="s">
        <v>624</v>
      </c>
      <c r="B62" s="10" t="s">
        <v>625</v>
      </c>
      <c r="C62" s="10" t="s">
        <v>626</v>
      </c>
      <c r="D62" s="10" t="s">
        <v>133</v>
      </c>
      <c r="E62" s="10" t="s">
        <v>149</v>
      </c>
      <c r="F62" s="10" t="s">
        <v>627</v>
      </c>
      <c r="G62" s="10" t="s">
        <v>463</v>
      </c>
      <c r="H62" s="10" t="s">
        <v>464</v>
      </c>
      <c r="I62" s="15" t="s">
        <v>465</v>
      </c>
      <c r="J62" s="10" t="s">
        <v>466</v>
      </c>
      <c r="K62" s="10" t="s">
        <v>628</v>
      </c>
      <c r="L62" s="10" t="s">
        <v>629</v>
      </c>
      <c r="M62" s="10" t="s">
        <v>630</v>
      </c>
      <c r="N62" s="10">
        <v>10</v>
      </c>
      <c r="O62" s="10" t="s">
        <v>631</v>
      </c>
      <c r="P62" s="10" t="s">
        <v>144</v>
      </c>
      <c r="Q62" s="10">
        <v>0.55000000000000004</v>
      </c>
      <c r="R62" s="10" t="b">
        <v>1</v>
      </c>
      <c r="S62" s="10" t="b">
        <v>1</v>
      </c>
      <c r="T62" s="10" t="s">
        <v>632</v>
      </c>
      <c r="U62" s="10" t="b">
        <v>1</v>
      </c>
    </row>
    <row r="63" spans="1:21" ht="22.5" customHeight="1">
      <c r="A63" s="10" t="s">
        <v>633</v>
      </c>
      <c r="B63" s="10" t="s">
        <v>634</v>
      </c>
      <c r="C63" s="10" t="s">
        <v>635</v>
      </c>
      <c r="D63" s="10" t="s">
        <v>133</v>
      </c>
      <c r="E63" s="10" t="s">
        <v>149</v>
      </c>
      <c r="F63" s="10" t="s">
        <v>636</v>
      </c>
      <c r="G63" s="10" t="s">
        <v>463</v>
      </c>
      <c r="H63" s="10" t="s">
        <v>464</v>
      </c>
      <c r="I63" s="15" t="s">
        <v>465</v>
      </c>
      <c r="J63" s="10" t="s">
        <v>466</v>
      </c>
      <c r="K63" s="10" t="s">
        <v>628</v>
      </c>
      <c r="L63" s="10" t="s">
        <v>637</v>
      </c>
      <c r="M63" s="10" t="s">
        <v>638</v>
      </c>
      <c r="N63" s="10">
        <v>10</v>
      </c>
      <c r="O63" s="10" t="s">
        <v>639</v>
      </c>
      <c r="P63" s="10" t="s">
        <v>144</v>
      </c>
      <c r="Q63" s="10">
        <v>0.55000000000000004</v>
      </c>
      <c r="R63" s="10" t="b">
        <v>1</v>
      </c>
      <c r="S63" s="10" t="b">
        <v>1</v>
      </c>
      <c r="T63" s="10" t="s">
        <v>640</v>
      </c>
      <c r="U63" s="10" t="b">
        <v>1</v>
      </c>
    </row>
    <row r="64" spans="1:21" ht="22.5" customHeight="1">
      <c r="A64" s="10" t="s">
        <v>641</v>
      </c>
      <c r="B64" s="10" t="s">
        <v>642</v>
      </c>
      <c r="C64" s="10" t="s">
        <v>643</v>
      </c>
      <c r="D64" s="10" t="s">
        <v>133</v>
      </c>
      <c r="E64" s="10" t="s">
        <v>149</v>
      </c>
      <c r="F64" s="10" t="s">
        <v>644</v>
      </c>
      <c r="G64" s="10" t="s">
        <v>463</v>
      </c>
      <c r="H64" s="10" t="s">
        <v>464</v>
      </c>
      <c r="I64" s="15" t="s">
        <v>465</v>
      </c>
      <c r="J64" s="10" t="s">
        <v>466</v>
      </c>
      <c r="K64" s="10" t="s">
        <v>645</v>
      </c>
      <c r="L64" s="10" t="s">
        <v>646</v>
      </c>
      <c r="M64" s="10" t="s">
        <v>647</v>
      </c>
      <c r="N64" s="10">
        <v>10</v>
      </c>
      <c r="O64" s="10" t="s">
        <v>648</v>
      </c>
      <c r="P64" s="10" t="s">
        <v>144</v>
      </c>
      <c r="Q64" s="10">
        <v>0.85</v>
      </c>
      <c r="R64" s="10" t="b">
        <v>1</v>
      </c>
      <c r="S64" s="10" t="b">
        <v>1</v>
      </c>
      <c r="T64" s="10" t="s">
        <v>649</v>
      </c>
      <c r="U64" s="10" t="b">
        <v>1</v>
      </c>
    </row>
    <row r="65" spans="1:21" ht="22.5" customHeight="1">
      <c r="A65" s="10" t="s">
        <v>650</v>
      </c>
      <c r="B65" s="10" t="s">
        <v>651</v>
      </c>
      <c r="C65" s="10" t="s">
        <v>652</v>
      </c>
      <c r="D65" s="10" t="s">
        <v>133</v>
      </c>
      <c r="E65" s="10" t="s">
        <v>149</v>
      </c>
      <c r="F65" s="10" t="s">
        <v>653</v>
      </c>
      <c r="G65" s="10" t="s">
        <v>463</v>
      </c>
      <c r="H65" s="10" t="s">
        <v>464</v>
      </c>
      <c r="I65" s="10" t="s">
        <v>654</v>
      </c>
      <c r="J65" s="10" t="s">
        <v>466</v>
      </c>
      <c r="K65" s="10" t="s">
        <v>655</v>
      </c>
      <c r="L65" s="10" t="s">
        <v>656</v>
      </c>
      <c r="M65" s="10" t="s">
        <v>657</v>
      </c>
      <c r="N65" s="10">
        <v>10</v>
      </c>
      <c r="O65" s="10" t="s">
        <v>658</v>
      </c>
      <c r="P65" s="10" t="s">
        <v>144</v>
      </c>
      <c r="Q65" s="10">
        <v>0.55000000000000004</v>
      </c>
      <c r="R65" s="10" t="b">
        <v>1</v>
      </c>
      <c r="S65" s="10" t="b">
        <v>1</v>
      </c>
      <c r="T65" s="10" t="s">
        <v>659</v>
      </c>
      <c r="U65" s="10" t="b">
        <v>1</v>
      </c>
    </row>
    <row r="66" spans="1:21" ht="22.5" customHeight="1">
      <c r="A66" s="10" t="s">
        <v>660</v>
      </c>
      <c r="B66" s="10" t="s">
        <v>661</v>
      </c>
      <c r="C66" s="10" t="s">
        <v>214</v>
      </c>
      <c r="D66" s="10" t="s">
        <v>169</v>
      </c>
      <c r="E66" s="10" t="s">
        <v>157</v>
      </c>
      <c r="F66" s="10" t="s">
        <v>662</v>
      </c>
      <c r="G66" s="10" t="s">
        <v>463</v>
      </c>
      <c r="H66" s="10" t="s">
        <v>464</v>
      </c>
      <c r="I66" s="10" t="s">
        <v>618</v>
      </c>
      <c r="J66" s="10" t="s">
        <v>466</v>
      </c>
      <c r="K66" s="10" t="s">
        <v>663</v>
      </c>
      <c r="L66" s="10" t="s">
        <v>664</v>
      </c>
      <c r="M66" s="10" t="s">
        <v>665</v>
      </c>
      <c r="N66" s="10">
        <v>10</v>
      </c>
      <c r="O66" s="10" t="s">
        <v>666</v>
      </c>
      <c r="P66" s="10" t="s">
        <v>195</v>
      </c>
      <c r="Q66" s="10">
        <v>0</v>
      </c>
      <c r="R66" s="10" t="b">
        <v>0</v>
      </c>
      <c r="S66" s="10" t="b">
        <v>0</v>
      </c>
      <c r="T66" s="10" t="s">
        <v>422</v>
      </c>
      <c r="U66" s="10" t="b">
        <v>1</v>
      </c>
    </row>
    <row r="67" spans="1:21" ht="22.5" customHeight="1">
      <c r="A67" s="10" t="s">
        <v>667</v>
      </c>
      <c r="B67" s="10" t="s">
        <v>668</v>
      </c>
      <c r="C67" s="10" t="s">
        <v>669</v>
      </c>
      <c r="D67" s="10" t="s">
        <v>133</v>
      </c>
      <c r="E67" s="10" t="s">
        <v>387</v>
      </c>
      <c r="F67" s="10" t="s">
        <v>670</v>
      </c>
      <c r="G67" s="10" t="s">
        <v>463</v>
      </c>
      <c r="H67" s="10" t="s">
        <v>464</v>
      </c>
      <c r="I67" s="10" t="s">
        <v>465</v>
      </c>
      <c r="J67" s="10" t="s">
        <v>466</v>
      </c>
      <c r="K67" s="10" t="s">
        <v>178</v>
      </c>
      <c r="L67" s="10" t="s">
        <v>671</v>
      </c>
      <c r="M67" s="10">
        <v>1</v>
      </c>
      <c r="N67" s="10">
        <v>10</v>
      </c>
      <c r="O67" s="10" t="s">
        <v>672</v>
      </c>
      <c r="P67" s="10" t="s">
        <v>457</v>
      </c>
      <c r="Q67" s="10">
        <v>0</v>
      </c>
      <c r="R67" s="10" t="b">
        <v>1</v>
      </c>
      <c r="S67" s="10" t="b">
        <v>1</v>
      </c>
      <c r="T67" s="10" t="s">
        <v>673</v>
      </c>
      <c r="U67" s="10" t="b">
        <v>1</v>
      </c>
    </row>
    <row r="68" spans="1:21" ht="22.5" customHeight="1">
      <c r="A68" s="10" t="s">
        <v>674</v>
      </c>
      <c r="B68" s="10" t="s">
        <v>675</v>
      </c>
      <c r="C68" s="10" t="s">
        <v>214</v>
      </c>
      <c r="D68" s="10" t="s">
        <v>169</v>
      </c>
      <c r="E68" s="10" t="s">
        <v>157</v>
      </c>
      <c r="F68" s="10" t="s">
        <v>676</v>
      </c>
      <c r="G68" s="10" t="s">
        <v>677</v>
      </c>
      <c r="H68" s="10" t="s">
        <v>464</v>
      </c>
      <c r="I68" s="10" t="s">
        <v>678</v>
      </c>
      <c r="J68" s="10" t="s">
        <v>679</v>
      </c>
      <c r="K68" s="10" t="s">
        <v>680</v>
      </c>
      <c r="L68" s="10" t="s">
        <v>681</v>
      </c>
      <c r="M68" s="10" t="s">
        <v>682</v>
      </c>
      <c r="N68" s="10">
        <v>4</v>
      </c>
      <c r="O68" s="10" t="s">
        <v>683</v>
      </c>
      <c r="P68" s="10" t="s">
        <v>195</v>
      </c>
      <c r="Q68" s="10">
        <v>0</v>
      </c>
      <c r="R68" s="10" t="b">
        <v>0</v>
      </c>
      <c r="S68" s="10" t="b">
        <v>0</v>
      </c>
      <c r="T68" s="10" t="s">
        <v>422</v>
      </c>
      <c r="U68" s="10" t="b">
        <v>1</v>
      </c>
    </row>
    <row r="69" spans="1:21" ht="22.5" customHeight="1">
      <c r="A69" s="10" t="s">
        <v>684</v>
      </c>
      <c r="B69" s="10" t="s">
        <v>685</v>
      </c>
      <c r="C69" s="10" t="s">
        <v>686</v>
      </c>
      <c r="D69" s="10" t="s">
        <v>133</v>
      </c>
      <c r="E69" s="10" t="s">
        <v>157</v>
      </c>
      <c r="F69" s="10" t="s">
        <v>687</v>
      </c>
      <c r="G69" s="10" t="s">
        <v>677</v>
      </c>
      <c r="H69" s="10" t="s">
        <v>464</v>
      </c>
      <c r="I69" s="10" t="s">
        <v>678</v>
      </c>
      <c r="J69" s="10" t="s">
        <v>679</v>
      </c>
      <c r="K69" s="10" t="s">
        <v>680</v>
      </c>
      <c r="L69" s="10" t="s">
        <v>688</v>
      </c>
      <c r="M69" s="10" t="s">
        <v>689</v>
      </c>
      <c r="N69" s="10">
        <v>4</v>
      </c>
      <c r="O69" s="10" t="s">
        <v>690</v>
      </c>
      <c r="P69" s="10" t="s">
        <v>144</v>
      </c>
      <c r="Q69" s="10">
        <v>0.5</v>
      </c>
      <c r="R69" s="10" t="b">
        <v>1</v>
      </c>
      <c r="S69" s="10" t="b">
        <v>0</v>
      </c>
      <c r="T69" s="10" t="s">
        <v>691</v>
      </c>
      <c r="U69" s="10" t="b">
        <v>1</v>
      </c>
    </row>
    <row r="70" spans="1:21" ht="22.5" customHeight="1">
      <c r="A70" s="10" t="s">
        <v>692</v>
      </c>
      <c r="B70" s="10" t="s">
        <v>693</v>
      </c>
      <c r="C70" s="10">
        <v>12078104</v>
      </c>
      <c r="D70" s="10" t="s">
        <v>133</v>
      </c>
      <c r="E70" s="10" t="s">
        <v>157</v>
      </c>
      <c r="F70" s="10" t="s">
        <v>694</v>
      </c>
      <c r="G70" s="10" t="s">
        <v>677</v>
      </c>
      <c r="H70" s="10" t="s">
        <v>464</v>
      </c>
      <c r="I70" s="10" t="s">
        <v>678</v>
      </c>
      <c r="J70" s="10" t="s">
        <v>679</v>
      </c>
      <c r="K70" s="10" t="s">
        <v>680</v>
      </c>
      <c r="L70" s="10" t="s">
        <v>695</v>
      </c>
      <c r="M70" s="10" t="s">
        <v>696</v>
      </c>
      <c r="N70" s="10">
        <v>4</v>
      </c>
      <c r="O70" s="10" t="s">
        <v>697</v>
      </c>
      <c r="P70" s="10" t="s">
        <v>144</v>
      </c>
      <c r="Q70" s="10">
        <v>0.6</v>
      </c>
      <c r="R70" s="10" t="b">
        <v>1</v>
      </c>
      <c r="S70" s="10" t="b">
        <v>1</v>
      </c>
      <c r="T70" s="10" t="s">
        <v>698</v>
      </c>
      <c r="U70" s="10" t="b">
        <v>1</v>
      </c>
    </row>
    <row r="71" spans="1:21" ht="22.5" customHeight="1">
      <c r="A71" s="10" t="s">
        <v>699</v>
      </c>
      <c r="B71" s="10" t="s">
        <v>700</v>
      </c>
      <c r="C71" s="10" t="s">
        <v>701</v>
      </c>
      <c r="D71" s="10" t="s">
        <v>133</v>
      </c>
      <c r="E71" s="10" t="s">
        <v>157</v>
      </c>
      <c r="F71" s="10" t="s">
        <v>702</v>
      </c>
      <c r="G71" s="10" t="s">
        <v>677</v>
      </c>
      <c r="H71" s="10" t="s">
        <v>464</v>
      </c>
      <c r="I71" s="10" t="s">
        <v>678</v>
      </c>
      <c r="J71" s="10" t="s">
        <v>679</v>
      </c>
      <c r="K71" s="10" t="s">
        <v>680</v>
      </c>
      <c r="L71" s="10" t="s">
        <v>703</v>
      </c>
      <c r="M71" s="10" t="s">
        <v>704</v>
      </c>
      <c r="N71" s="10">
        <v>4</v>
      </c>
      <c r="O71" s="10" t="s">
        <v>705</v>
      </c>
      <c r="P71" s="10" t="s">
        <v>195</v>
      </c>
      <c r="Q71" s="10">
        <v>0.15</v>
      </c>
      <c r="R71" s="10" t="b">
        <v>1</v>
      </c>
      <c r="S71" s="10" t="b">
        <v>0</v>
      </c>
      <c r="T71" s="10" t="s">
        <v>706</v>
      </c>
      <c r="U71" s="10" t="b">
        <v>1</v>
      </c>
    </row>
    <row r="72" spans="1:21" ht="22.5" customHeight="1">
      <c r="A72" s="10" t="s">
        <v>707</v>
      </c>
      <c r="B72" s="10" t="s">
        <v>708</v>
      </c>
      <c r="C72" s="10" t="s">
        <v>214</v>
      </c>
      <c r="D72" s="10" t="s">
        <v>215</v>
      </c>
      <c r="E72" s="10" t="s">
        <v>157</v>
      </c>
      <c r="F72" s="10" t="s">
        <v>709</v>
      </c>
      <c r="G72" s="10" t="s">
        <v>677</v>
      </c>
      <c r="H72" s="10" t="s">
        <v>464</v>
      </c>
      <c r="I72" s="10" t="s">
        <v>678</v>
      </c>
      <c r="J72" s="10" t="s">
        <v>679</v>
      </c>
      <c r="K72" s="10" t="s">
        <v>680</v>
      </c>
      <c r="L72" s="10" t="s">
        <v>710</v>
      </c>
      <c r="M72" s="10" t="s">
        <v>711</v>
      </c>
      <c r="N72" s="10">
        <v>10</v>
      </c>
      <c r="O72" s="10" t="s">
        <v>712</v>
      </c>
      <c r="P72" s="10" t="s">
        <v>195</v>
      </c>
      <c r="Q72" s="10">
        <v>0</v>
      </c>
      <c r="R72" s="10" t="b">
        <v>0</v>
      </c>
      <c r="S72" s="10" t="b">
        <v>0</v>
      </c>
      <c r="T72" s="10" t="s">
        <v>422</v>
      </c>
      <c r="U72" s="10" t="b">
        <v>1</v>
      </c>
    </row>
    <row r="73" spans="1:21" ht="22.5" customHeight="1">
      <c r="A73" s="10" t="s">
        <v>713</v>
      </c>
      <c r="B73" s="10" t="s">
        <v>714</v>
      </c>
      <c r="C73" s="10" t="s">
        <v>214</v>
      </c>
      <c r="D73" s="10" t="s">
        <v>169</v>
      </c>
      <c r="E73" s="10" t="s">
        <v>157</v>
      </c>
      <c r="F73" s="10" t="s">
        <v>715</v>
      </c>
      <c r="G73" s="10" t="s">
        <v>677</v>
      </c>
      <c r="H73" s="10" t="s">
        <v>464</v>
      </c>
      <c r="I73" s="10" t="s">
        <v>678</v>
      </c>
      <c r="J73" s="10" t="s">
        <v>679</v>
      </c>
      <c r="K73" s="10" t="s">
        <v>680</v>
      </c>
      <c r="L73" s="10" t="s">
        <v>716</v>
      </c>
      <c r="M73" s="10" t="s">
        <v>717</v>
      </c>
      <c r="N73" s="10">
        <v>4</v>
      </c>
      <c r="O73" s="10" t="s">
        <v>718</v>
      </c>
      <c r="P73" s="10" t="s">
        <v>195</v>
      </c>
      <c r="Q73" s="10">
        <v>0</v>
      </c>
      <c r="R73" s="10" t="b">
        <v>0</v>
      </c>
      <c r="S73" s="10" t="b">
        <v>0</v>
      </c>
      <c r="T73" s="10" t="s">
        <v>422</v>
      </c>
      <c r="U73" s="10" t="b">
        <v>1</v>
      </c>
    </row>
    <row r="74" spans="1:21" ht="22.5" customHeight="1">
      <c r="A74" s="10" t="s">
        <v>719</v>
      </c>
      <c r="B74" s="10" t="s">
        <v>720</v>
      </c>
      <c r="C74" s="10" t="s">
        <v>214</v>
      </c>
      <c r="D74" s="10" t="s">
        <v>169</v>
      </c>
      <c r="E74" s="10" t="s">
        <v>157</v>
      </c>
      <c r="F74" s="10" t="s">
        <v>721</v>
      </c>
      <c r="G74" s="10" t="s">
        <v>159</v>
      </c>
      <c r="H74" s="10" t="s">
        <v>160</v>
      </c>
      <c r="I74" s="10" t="s">
        <v>321</v>
      </c>
      <c r="J74" s="10" t="s">
        <v>139</v>
      </c>
      <c r="K74" s="10" t="s">
        <v>722</v>
      </c>
      <c r="L74" s="10" t="s">
        <v>723</v>
      </c>
      <c r="M74" s="10" t="s">
        <v>724</v>
      </c>
      <c r="N74" s="10">
        <v>10</v>
      </c>
      <c r="O74" s="10" t="s">
        <v>725</v>
      </c>
      <c r="P74" s="10" t="s">
        <v>195</v>
      </c>
      <c r="Q74" s="10">
        <v>0</v>
      </c>
      <c r="R74" s="10" t="b">
        <v>0</v>
      </c>
      <c r="S74" s="10" t="b">
        <v>0</v>
      </c>
      <c r="T74" s="10" t="s">
        <v>422</v>
      </c>
      <c r="U74" s="10" t="b">
        <v>1</v>
      </c>
    </row>
    <row r="75" spans="1:21" ht="22.5" customHeight="1">
      <c r="A75" s="10" t="s">
        <v>726</v>
      </c>
      <c r="B75" s="10" t="s">
        <v>727</v>
      </c>
      <c r="C75" s="10">
        <v>15</v>
      </c>
      <c r="D75" s="10" t="s">
        <v>133</v>
      </c>
      <c r="E75" s="10" t="s">
        <v>157</v>
      </c>
      <c r="F75" s="10" t="s">
        <v>728</v>
      </c>
      <c r="G75" s="10" t="s">
        <v>495</v>
      </c>
      <c r="H75" s="10" t="s">
        <v>189</v>
      </c>
      <c r="I75" s="10" t="s">
        <v>529</v>
      </c>
      <c r="J75" s="10" t="s">
        <v>162</v>
      </c>
      <c r="K75" s="10" t="s">
        <v>178</v>
      </c>
      <c r="L75" s="10" t="s">
        <v>729</v>
      </c>
      <c r="M75" s="10" t="s">
        <v>730</v>
      </c>
      <c r="N75" s="10">
        <v>10</v>
      </c>
      <c r="O75" s="10" t="s">
        <v>731</v>
      </c>
      <c r="P75" s="10" t="s">
        <v>182</v>
      </c>
      <c r="Q75" s="10">
        <v>1</v>
      </c>
      <c r="R75" s="10" t="b">
        <v>1</v>
      </c>
      <c r="S75" s="10" t="b">
        <v>1</v>
      </c>
      <c r="T75" s="10" t="s">
        <v>732</v>
      </c>
      <c r="U75" s="10" t="b">
        <v>1</v>
      </c>
    </row>
    <row r="76" spans="1:21" ht="22.5" customHeight="1">
      <c r="A76" s="10" t="s">
        <v>733</v>
      </c>
      <c r="B76" s="10" t="s">
        <v>734</v>
      </c>
      <c r="C76" s="10" t="s">
        <v>735</v>
      </c>
      <c r="D76" s="10" t="s">
        <v>133</v>
      </c>
      <c r="E76" s="10" t="s">
        <v>149</v>
      </c>
      <c r="F76" s="10" t="s">
        <v>736</v>
      </c>
      <c r="G76" s="10" t="s">
        <v>472</v>
      </c>
      <c r="H76" s="10" t="s">
        <v>473</v>
      </c>
      <c r="I76" s="10" t="s">
        <v>737</v>
      </c>
      <c r="J76" s="10" t="s">
        <v>738</v>
      </c>
      <c r="K76" s="10" t="s">
        <v>178</v>
      </c>
      <c r="L76" s="10" t="s">
        <v>739</v>
      </c>
      <c r="M76" s="10" t="s">
        <v>740</v>
      </c>
      <c r="N76" s="10">
        <v>10</v>
      </c>
      <c r="O76" s="10" t="s">
        <v>741</v>
      </c>
      <c r="P76" s="10" t="s">
        <v>182</v>
      </c>
      <c r="Q76" s="10">
        <v>0.95</v>
      </c>
      <c r="R76" s="10" t="b">
        <v>1</v>
      </c>
      <c r="S76" s="10" t="b">
        <v>1</v>
      </c>
      <c r="T76" s="10" t="s">
        <v>742</v>
      </c>
      <c r="U76" s="10" t="b">
        <v>1</v>
      </c>
    </row>
    <row r="77" spans="1:21" ht="22.5" customHeight="1">
      <c r="A77" s="10" t="s">
        <v>743</v>
      </c>
      <c r="B77" s="10" t="s">
        <v>744</v>
      </c>
      <c r="C77" s="10" t="s">
        <v>745</v>
      </c>
      <c r="D77" s="10" t="s">
        <v>133</v>
      </c>
      <c r="E77" s="10" t="s">
        <v>149</v>
      </c>
      <c r="F77" s="10" t="s">
        <v>746</v>
      </c>
      <c r="G77" s="10" t="s">
        <v>747</v>
      </c>
      <c r="H77" s="10" t="s">
        <v>748</v>
      </c>
      <c r="I77" s="10" t="s">
        <v>749</v>
      </c>
      <c r="J77" s="10" t="s">
        <v>750</v>
      </c>
      <c r="K77" s="10" t="s">
        <v>178</v>
      </c>
      <c r="L77" s="10" t="s">
        <v>751</v>
      </c>
      <c r="M77" s="10" t="s">
        <v>752</v>
      </c>
      <c r="N77" s="10">
        <v>10</v>
      </c>
      <c r="O77" s="10" t="s">
        <v>753</v>
      </c>
      <c r="P77" s="10" t="s">
        <v>182</v>
      </c>
      <c r="Q77" s="10">
        <v>1</v>
      </c>
      <c r="R77" s="10" t="b">
        <v>1</v>
      </c>
      <c r="S77" s="10" t="b">
        <v>1</v>
      </c>
      <c r="T77" s="10" t="s">
        <v>754</v>
      </c>
      <c r="U77" s="10" t="b">
        <v>1</v>
      </c>
    </row>
    <row r="78" spans="1:21" ht="22.5" customHeight="1">
      <c r="A78" s="10" t="s">
        <v>755</v>
      </c>
      <c r="B78" s="10" t="s">
        <v>756</v>
      </c>
      <c r="C78" s="10" t="s">
        <v>214</v>
      </c>
      <c r="D78" s="10" t="s">
        <v>133</v>
      </c>
      <c r="E78" s="10" t="s">
        <v>149</v>
      </c>
      <c r="F78" s="10" t="s">
        <v>757</v>
      </c>
      <c r="G78" s="10" t="s">
        <v>747</v>
      </c>
      <c r="H78" s="10" t="s">
        <v>748</v>
      </c>
      <c r="I78" s="10" t="s">
        <v>749</v>
      </c>
      <c r="J78" s="10" t="s">
        <v>750</v>
      </c>
      <c r="K78" s="10" t="s">
        <v>178</v>
      </c>
      <c r="L78" s="10" t="s">
        <v>758</v>
      </c>
      <c r="M78" s="10" t="s">
        <v>759</v>
      </c>
      <c r="N78" s="10">
        <v>10</v>
      </c>
      <c r="O78" s="10" t="s">
        <v>760</v>
      </c>
      <c r="P78" s="10" t="s">
        <v>195</v>
      </c>
      <c r="Q78" s="10">
        <v>0</v>
      </c>
      <c r="R78" s="10" t="b">
        <v>0</v>
      </c>
      <c r="S78" s="10" t="b">
        <v>0</v>
      </c>
      <c r="T78" s="10" t="s">
        <v>422</v>
      </c>
      <c r="U78" s="10" t="b">
        <v>1</v>
      </c>
    </row>
    <row r="79" spans="1:21" ht="22.5" customHeight="1">
      <c r="A79" s="10" t="s">
        <v>761</v>
      </c>
      <c r="B79" s="10" t="s">
        <v>762</v>
      </c>
      <c r="C79" s="10">
        <v>-379524</v>
      </c>
      <c r="D79" s="10" t="s">
        <v>133</v>
      </c>
      <c r="E79" s="10" t="s">
        <v>157</v>
      </c>
      <c r="F79" s="10" t="s">
        <v>763</v>
      </c>
      <c r="G79" s="10" t="s">
        <v>159</v>
      </c>
      <c r="H79" s="10" t="s">
        <v>160</v>
      </c>
      <c r="I79" s="10" t="s">
        <v>764</v>
      </c>
      <c r="J79" s="10" t="s">
        <v>738</v>
      </c>
      <c r="K79" s="10" t="s">
        <v>178</v>
      </c>
      <c r="L79" s="10" t="s">
        <v>765</v>
      </c>
      <c r="M79" s="10" t="s">
        <v>766</v>
      </c>
      <c r="N79" s="10">
        <v>0</v>
      </c>
      <c r="O79" s="10" t="s">
        <v>767</v>
      </c>
      <c r="P79" s="10" t="s">
        <v>195</v>
      </c>
      <c r="Q79" s="10">
        <v>0</v>
      </c>
      <c r="R79" s="10" t="b">
        <v>1</v>
      </c>
      <c r="S79" s="10" t="b">
        <v>1</v>
      </c>
      <c r="T79" s="10" t="s">
        <v>768</v>
      </c>
      <c r="U79" s="10" t="b">
        <v>1</v>
      </c>
    </row>
    <row r="80" spans="1:21" ht="22.5" customHeight="1">
      <c r="A80" s="10" t="s">
        <v>769</v>
      </c>
      <c r="B80" s="10" t="s">
        <v>770</v>
      </c>
      <c r="C80" s="10">
        <v>5411.6</v>
      </c>
      <c r="D80" s="10" t="s">
        <v>133</v>
      </c>
      <c r="E80" s="10" t="s">
        <v>157</v>
      </c>
      <c r="F80" s="10" t="s">
        <v>771</v>
      </c>
      <c r="G80" s="10" t="s">
        <v>480</v>
      </c>
      <c r="H80" s="10" t="s">
        <v>160</v>
      </c>
      <c r="I80" s="10" t="s">
        <v>764</v>
      </c>
      <c r="J80" s="10" t="s">
        <v>738</v>
      </c>
      <c r="K80" s="10" t="s">
        <v>178</v>
      </c>
      <c r="L80" s="10" t="s">
        <v>772</v>
      </c>
      <c r="M80" s="10" t="s">
        <v>773</v>
      </c>
      <c r="N80" s="10">
        <v>10</v>
      </c>
      <c r="O80" s="10" t="s">
        <v>774</v>
      </c>
      <c r="P80" s="10" t="s">
        <v>182</v>
      </c>
      <c r="Q80" s="10">
        <v>0.95</v>
      </c>
      <c r="R80" s="10" t="b">
        <v>1</v>
      </c>
      <c r="S80" s="10" t="b">
        <v>1</v>
      </c>
      <c r="T80" s="10" t="s">
        <v>775</v>
      </c>
      <c r="U80" s="10" t="b">
        <v>1</v>
      </c>
    </row>
    <row r="81" spans="1:21" ht="22.5" customHeight="1">
      <c r="A81" s="10" t="s">
        <v>776</v>
      </c>
      <c r="B81" s="10" t="s">
        <v>777</v>
      </c>
      <c r="C81" s="10" t="s">
        <v>778</v>
      </c>
      <c r="D81" s="10" t="s">
        <v>169</v>
      </c>
      <c r="E81" s="10" t="s">
        <v>149</v>
      </c>
      <c r="F81" s="10" t="s">
        <v>779</v>
      </c>
      <c r="G81" s="10" t="s">
        <v>136</v>
      </c>
      <c r="H81" s="10" t="s">
        <v>137</v>
      </c>
      <c r="I81" s="10" t="s">
        <v>138</v>
      </c>
      <c r="J81" s="10" t="s">
        <v>139</v>
      </c>
      <c r="K81" s="10" t="s">
        <v>178</v>
      </c>
      <c r="L81" s="10" t="s">
        <v>780</v>
      </c>
      <c r="M81" s="10" t="s">
        <v>781</v>
      </c>
      <c r="N81" s="10">
        <v>10</v>
      </c>
      <c r="O81" s="10" t="s">
        <v>782</v>
      </c>
      <c r="P81" s="10" t="s">
        <v>144</v>
      </c>
      <c r="Q81" s="10">
        <v>0.72</v>
      </c>
      <c r="R81" s="10" t="b">
        <v>1</v>
      </c>
      <c r="S81" s="10" t="b">
        <v>1</v>
      </c>
      <c r="T81" s="10" t="s">
        <v>783</v>
      </c>
      <c r="U81" s="10" t="b">
        <v>1</v>
      </c>
    </row>
    <row r="82" spans="1:21" ht="22.5" customHeight="1">
      <c r="A82" s="10" t="s">
        <v>784</v>
      </c>
      <c r="B82" s="10" t="s">
        <v>785</v>
      </c>
      <c r="C82" s="10">
        <v>100000</v>
      </c>
      <c r="D82" s="10" t="s">
        <v>169</v>
      </c>
      <c r="E82" s="10" t="s">
        <v>157</v>
      </c>
      <c r="F82" s="10" t="s">
        <v>786</v>
      </c>
      <c r="G82" s="10" t="s">
        <v>408</v>
      </c>
      <c r="H82" s="10" t="s">
        <v>137</v>
      </c>
      <c r="I82" s="10" t="s">
        <v>138</v>
      </c>
      <c r="J82" s="10" t="s">
        <v>139</v>
      </c>
      <c r="K82" s="10" t="s">
        <v>178</v>
      </c>
      <c r="L82" s="10" t="s">
        <v>787</v>
      </c>
      <c r="M82" s="10" t="s">
        <v>788</v>
      </c>
      <c r="N82" s="10">
        <v>10</v>
      </c>
      <c r="O82" s="10" t="s">
        <v>789</v>
      </c>
      <c r="P82" s="10" t="s">
        <v>182</v>
      </c>
      <c r="Q82" s="10">
        <v>1</v>
      </c>
      <c r="R82" s="10" t="b">
        <v>1</v>
      </c>
      <c r="S82" s="10" t="b">
        <v>1</v>
      </c>
      <c r="T82" s="10" t="s">
        <v>790</v>
      </c>
      <c r="U82" s="10" t="b">
        <v>1</v>
      </c>
    </row>
    <row r="83" spans="1:21" ht="22.5" customHeight="1">
      <c r="A83" s="10" t="s">
        <v>791</v>
      </c>
      <c r="B83" s="10" t="s">
        <v>792</v>
      </c>
      <c r="C83" s="10">
        <v>14400000</v>
      </c>
      <c r="D83" s="10" t="s">
        <v>133</v>
      </c>
      <c r="E83" s="10" t="s">
        <v>157</v>
      </c>
      <c r="F83" s="10" t="s">
        <v>793</v>
      </c>
      <c r="G83" s="10" t="s">
        <v>136</v>
      </c>
      <c r="H83" s="10" t="s">
        <v>137</v>
      </c>
      <c r="I83" s="10" t="s">
        <v>138</v>
      </c>
      <c r="J83" s="10" t="s">
        <v>139</v>
      </c>
      <c r="K83" s="10" t="s">
        <v>178</v>
      </c>
      <c r="L83" s="10" t="s">
        <v>794</v>
      </c>
      <c r="M83" s="10" t="s">
        <v>795</v>
      </c>
      <c r="N83" s="10">
        <v>10</v>
      </c>
      <c r="O83" s="10" t="s">
        <v>796</v>
      </c>
      <c r="P83" s="10" t="s">
        <v>457</v>
      </c>
      <c r="Q83" s="10">
        <v>0</v>
      </c>
      <c r="R83" s="10" t="b">
        <v>1</v>
      </c>
      <c r="S83" s="10" t="b">
        <v>1</v>
      </c>
      <c r="T83" s="10" t="s">
        <v>797</v>
      </c>
      <c r="U83" s="10" t="b">
        <v>1</v>
      </c>
    </row>
    <row r="84" spans="1:21" ht="22.5" customHeight="1">
      <c r="A84" s="10" t="s">
        <v>798</v>
      </c>
      <c r="B84" s="10" t="s">
        <v>799</v>
      </c>
      <c r="C84" s="10">
        <v>80000</v>
      </c>
      <c r="D84" s="10" t="s">
        <v>133</v>
      </c>
      <c r="E84" s="10" t="s">
        <v>157</v>
      </c>
      <c r="F84" s="10" t="s">
        <v>793</v>
      </c>
      <c r="G84" s="10" t="s">
        <v>136</v>
      </c>
      <c r="H84" s="10" t="s">
        <v>137</v>
      </c>
      <c r="I84" s="10" t="s">
        <v>138</v>
      </c>
      <c r="J84" s="10" t="s">
        <v>139</v>
      </c>
      <c r="K84" s="10" t="s">
        <v>800</v>
      </c>
      <c r="L84" s="10" t="s">
        <v>801</v>
      </c>
      <c r="M84" s="10" t="s">
        <v>802</v>
      </c>
      <c r="N84" s="10">
        <v>10</v>
      </c>
      <c r="O84" s="10" t="s">
        <v>803</v>
      </c>
      <c r="P84" s="10" t="s">
        <v>144</v>
      </c>
      <c r="Q84" s="10">
        <v>0.4</v>
      </c>
      <c r="R84" s="10" t="b">
        <v>1</v>
      </c>
      <c r="S84" s="10" t="b">
        <v>1</v>
      </c>
      <c r="T84" s="10" t="s">
        <v>804</v>
      </c>
      <c r="U84" s="10" t="b">
        <v>1</v>
      </c>
    </row>
    <row r="85" spans="1:21" ht="22.5" customHeight="1">
      <c r="A85" s="10" t="s">
        <v>805</v>
      </c>
      <c r="B85" s="10" t="s">
        <v>806</v>
      </c>
      <c r="C85" s="10" t="s">
        <v>214</v>
      </c>
      <c r="D85" s="10" t="s">
        <v>215</v>
      </c>
      <c r="E85" s="10" t="s">
        <v>134</v>
      </c>
      <c r="F85" s="10" t="s">
        <v>807</v>
      </c>
      <c r="G85" s="10" t="s">
        <v>136</v>
      </c>
      <c r="H85" s="10" t="s">
        <v>137</v>
      </c>
      <c r="I85" s="10" t="s">
        <v>138</v>
      </c>
      <c r="J85" s="10" t="s">
        <v>139</v>
      </c>
      <c r="K85" s="10" t="s">
        <v>178</v>
      </c>
      <c r="L85" s="10" t="s">
        <v>808</v>
      </c>
      <c r="M85" s="10" t="s">
        <v>809</v>
      </c>
      <c r="N85" s="10">
        <v>10</v>
      </c>
      <c r="O85" s="10" t="s">
        <v>810</v>
      </c>
      <c r="P85" s="10" t="s">
        <v>195</v>
      </c>
      <c r="Q85" s="10">
        <v>0</v>
      </c>
      <c r="R85" s="10" t="b">
        <v>0</v>
      </c>
      <c r="S85" s="10" t="b">
        <v>0</v>
      </c>
      <c r="T85" s="10" t="s">
        <v>422</v>
      </c>
      <c r="U85" s="10" t="b">
        <v>1</v>
      </c>
    </row>
    <row r="86" spans="1:21" ht="22.5" customHeight="1">
      <c r="A86" s="10" t="s">
        <v>811</v>
      </c>
      <c r="B86" s="10" t="s">
        <v>812</v>
      </c>
      <c r="C86" s="10" t="s">
        <v>214</v>
      </c>
      <c r="D86" s="10" t="s">
        <v>133</v>
      </c>
      <c r="E86" s="10" t="s">
        <v>134</v>
      </c>
      <c r="F86" s="10" t="s">
        <v>813</v>
      </c>
      <c r="G86" s="10" t="s">
        <v>136</v>
      </c>
      <c r="H86" s="10" t="s">
        <v>137</v>
      </c>
      <c r="I86" s="10" t="s">
        <v>138</v>
      </c>
      <c r="J86" s="10" t="s">
        <v>139</v>
      </c>
      <c r="K86" s="10" t="s">
        <v>178</v>
      </c>
      <c r="L86" s="10" t="s">
        <v>814</v>
      </c>
      <c r="M86" s="10" t="s">
        <v>815</v>
      </c>
      <c r="N86" s="10">
        <v>10</v>
      </c>
      <c r="O86" s="10" t="s">
        <v>816</v>
      </c>
      <c r="P86" s="10" t="s">
        <v>259</v>
      </c>
      <c r="Q86" s="10">
        <v>1</v>
      </c>
      <c r="R86" s="10" t="b">
        <v>0</v>
      </c>
      <c r="S86" s="10" t="b">
        <v>0</v>
      </c>
      <c r="T86" s="10" t="s">
        <v>260</v>
      </c>
      <c r="U86" s="10" t="b">
        <v>1</v>
      </c>
    </row>
    <row r="87" spans="1:21" ht="22.5" customHeight="1">
      <c r="A87" s="10" t="s">
        <v>817</v>
      </c>
      <c r="B87" s="10" t="s">
        <v>818</v>
      </c>
      <c r="C87" s="10" t="s">
        <v>214</v>
      </c>
      <c r="D87" s="10" t="s">
        <v>169</v>
      </c>
      <c r="E87" s="10" t="s">
        <v>175</v>
      </c>
      <c r="F87" s="10" t="s">
        <v>819</v>
      </c>
      <c r="G87" s="10" t="s">
        <v>136</v>
      </c>
      <c r="H87" s="10" t="s">
        <v>137</v>
      </c>
      <c r="I87" s="10" t="s">
        <v>138</v>
      </c>
      <c r="J87" s="10" t="s">
        <v>139</v>
      </c>
      <c r="K87" s="10" t="s">
        <v>178</v>
      </c>
      <c r="L87" s="10" t="s">
        <v>820</v>
      </c>
      <c r="M87" s="10" t="s">
        <v>821</v>
      </c>
      <c r="N87" s="10">
        <v>10</v>
      </c>
      <c r="O87" s="10" t="s">
        <v>822</v>
      </c>
      <c r="P87" s="10" t="s">
        <v>195</v>
      </c>
      <c r="Q87" s="10">
        <v>0</v>
      </c>
      <c r="R87" s="10" t="b">
        <v>0</v>
      </c>
      <c r="S87" s="10" t="b">
        <v>0</v>
      </c>
      <c r="T87" s="10" t="s">
        <v>422</v>
      </c>
      <c r="U87" s="10" t="b">
        <v>1</v>
      </c>
    </row>
    <row r="88" spans="1:21" ht="22.5" customHeight="1">
      <c r="A88" s="10" t="s">
        <v>823</v>
      </c>
      <c r="B88" s="10" t="s">
        <v>824</v>
      </c>
      <c r="C88" s="10" t="s">
        <v>825</v>
      </c>
      <c r="D88" s="10" t="s">
        <v>133</v>
      </c>
      <c r="E88" s="10" t="s">
        <v>149</v>
      </c>
      <c r="F88" s="10" t="s">
        <v>826</v>
      </c>
      <c r="G88" s="10" t="s">
        <v>136</v>
      </c>
      <c r="H88" s="10" t="s">
        <v>137</v>
      </c>
      <c r="I88" s="10" t="s">
        <v>138</v>
      </c>
      <c r="J88" s="10" t="s">
        <v>139</v>
      </c>
      <c r="K88" s="10" t="s">
        <v>178</v>
      </c>
      <c r="L88" s="10" t="s">
        <v>827</v>
      </c>
      <c r="M88" s="10" t="s">
        <v>828</v>
      </c>
      <c r="N88" s="10">
        <v>10</v>
      </c>
      <c r="O88" s="10" t="s">
        <v>829</v>
      </c>
      <c r="P88" s="10" t="s">
        <v>195</v>
      </c>
      <c r="Q88" s="10">
        <v>0</v>
      </c>
      <c r="R88" s="10" t="b">
        <v>1</v>
      </c>
      <c r="S88" s="10" t="b">
        <v>1</v>
      </c>
      <c r="T88" s="10" t="s">
        <v>830</v>
      </c>
      <c r="U88" s="10" t="b">
        <v>1</v>
      </c>
    </row>
    <row r="89" spans="1:21" ht="22.5" customHeight="1">
      <c r="A89" s="10" t="s">
        <v>831</v>
      </c>
      <c r="B89" s="10" t="s">
        <v>832</v>
      </c>
      <c r="C89" s="10" t="s">
        <v>214</v>
      </c>
      <c r="D89" s="10" t="s">
        <v>169</v>
      </c>
      <c r="E89" s="10" t="s">
        <v>157</v>
      </c>
      <c r="F89" s="10" t="s">
        <v>833</v>
      </c>
      <c r="G89" s="10" t="s">
        <v>408</v>
      </c>
      <c r="H89" s="10" t="s">
        <v>137</v>
      </c>
      <c r="I89" s="10" t="s">
        <v>138</v>
      </c>
      <c r="J89" s="10" t="s">
        <v>139</v>
      </c>
      <c r="K89" s="10" t="s">
        <v>178</v>
      </c>
      <c r="L89" s="10" t="s">
        <v>834</v>
      </c>
      <c r="M89" s="10" t="s">
        <v>835</v>
      </c>
      <c r="N89" s="10">
        <v>10</v>
      </c>
      <c r="O89" s="10" t="s">
        <v>836</v>
      </c>
      <c r="P89" s="10" t="s">
        <v>195</v>
      </c>
      <c r="Q89" s="10">
        <v>0</v>
      </c>
      <c r="R89" s="10" t="b">
        <v>0</v>
      </c>
      <c r="S89" s="10" t="b">
        <v>0</v>
      </c>
      <c r="T89" s="10" t="s">
        <v>422</v>
      </c>
      <c r="U89" s="10" t="b">
        <v>1</v>
      </c>
    </row>
    <row r="90" spans="1:21" ht="22.5" customHeight="1">
      <c r="A90" s="10" t="s">
        <v>837</v>
      </c>
      <c r="B90" s="10" t="s">
        <v>838</v>
      </c>
      <c r="C90" s="10" t="s">
        <v>839</v>
      </c>
      <c r="D90" s="10" t="s">
        <v>169</v>
      </c>
      <c r="E90" s="10" t="s">
        <v>157</v>
      </c>
      <c r="F90" s="10" t="s">
        <v>503</v>
      </c>
      <c r="G90" s="10" t="s">
        <v>252</v>
      </c>
      <c r="H90" s="10" t="s">
        <v>253</v>
      </c>
      <c r="I90" s="10" t="s">
        <v>321</v>
      </c>
      <c r="J90" s="10" t="s">
        <v>139</v>
      </c>
      <c r="K90" s="10" t="s">
        <v>840</v>
      </c>
      <c r="L90" s="10" t="s">
        <v>841</v>
      </c>
      <c r="M90" s="10" t="s">
        <v>842</v>
      </c>
      <c r="N90" s="10">
        <v>10</v>
      </c>
      <c r="O90" s="10" t="s">
        <v>843</v>
      </c>
      <c r="P90" s="10" t="s">
        <v>144</v>
      </c>
      <c r="Q90" s="10">
        <v>0.4</v>
      </c>
      <c r="R90" s="10" t="b">
        <v>1</v>
      </c>
      <c r="S90" s="10" t="b">
        <v>0</v>
      </c>
      <c r="T90" s="10" t="s">
        <v>844</v>
      </c>
      <c r="U90" s="10" t="b">
        <v>1</v>
      </c>
    </row>
    <row r="91" spans="1:21" ht="22.5" customHeight="1">
      <c r="A91" s="10" t="s">
        <v>845</v>
      </c>
      <c r="B91" s="10" t="s">
        <v>846</v>
      </c>
      <c r="C91" s="10" t="s">
        <v>214</v>
      </c>
      <c r="D91" s="10" t="s">
        <v>169</v>
      </c>
      <c r="E91" s="10" t="s">
        <v>157</v>
      </c>
      <c r="F91" s="10" t="s">
        <v>847</v>
      </c>
      <c r="G91" s="10" t="s">
        <v>159</v>
      </c>
      <c r="H91" s="10" t="s">
        <v>160</v>
      </c>
      <c r="I91" s="10" t="s">
        <v>161</v>
      </c>
      <c r="J91" s="10" t="s">
        <v>162</v>
      </c>
      <c r="K91" s="10" t="s">
        <v>848</v>
      </c>
      <c r="L91" s="10" t="s">
        <v>849</v>
      </c>
      <c r="M91" s="10" t="s">
        <v>850</v>
      </c>
      <c r="N91" s="10">
        <v>10</v>
      </c>
      <c r="O91" s="10" t="s">
        <v>851</v>
      </c>
      <c r="P91" s="10" t="s">
        <v>195</v>
      </c>
      <c r="Q91" s="10">
        <v>0</v>
      </c>
      <c r="R91" s="10" t="b">
        <v>0</v>
      </c>
      <c r="S91" s="10" t="b">
        <v>0</v>
      </c>
      <c r="T91" s="10" t="s">
        <v>422</v>
      </c>
      <c r="U91" s="10" t="b">
        <v>1</v>
      </c>
    </row>
    <row r="92" spans="1:21" ht="22.5" customHeight="1">
      <c r="A92" s="10" t="s">
        <v>852</v>
      </c>
      <c r="B92" s="10" t="s">
        <v>853</v>
      </c>
      <c r="C92" s="10">
        <v>118242.5</v>
      </c>
      <c r="D92" s="10" t="s">
        <v>133</v>
      </c>
      <c r="E92" s="10" t="s">
        <v>157</v>
      </c>
      <c r="F92" s="10" t="s">
        <v>854</v>
      </c>
      <c r="G92" s="10" t="s">
        <v>136</v>
      </c>
      <c r="H92" s="10" t="s">
        <v>137</v>
      </c>
      <c r="I92" s="10" t="s">
        <v>138</v>
      </c>
      <c r="J92" s="10" t="s">
        <v>139</v>
      </c>
      <c r="K92" s="10" t="s">
        <v>178</v>
      </c>
      <c r="L92" s="10" t="s">
        <v>855</v>
      </c>
      <c r="M92" s="10" t="s">
        <v>856</v>
      </c>
      <c r="N92" s="10">
        <v>10</v>
      </c>
      <c r="O92" s="10" t="s">
        <v>857</v>
      </c>
      <c r="P92" s="10" t="s">
        <v>195</v>
      </c>
      <c r="Q92" s="10">
        <v>0.05</v>
      </c>
      <c r="R92" s="10" t="b">
        <v>1</v>
      </c>
      <c r="S92" s="10" t="b">
        <v>1</v>
      </c>
      <c r="T92" s="10" t="s">
        <v>858</v>
      </c>
      <c r="U92" s="10" t="b">
        <v>1</v>
      </c>
    </row>
    <row r="93" spans="1:21" ht="22.5" customHeight="1">
      <c r="A93" s="10" t="s">
        <v>859</v>
      </c>
      <c r="B93" s="10" t="s">
        <v>860</v>
      </c>
      <c r="C93" s="10" t="s">
        <v>861</v>
      </c>
      <c r="D93" s="10" t="s">
        <v>133</v>
      </c>
      <c r="E93" s="10" t="s">
        <v>149</v>
      </c>
      <c r="F93" s="10" t="s">
        <v>862</v>
      </c>
      <c r="G93" s="10" t="s">
        <v>252</v>
      </c>
      <c r="H93" s="10" t="s">
        <v>253</v>
      </c>
      <c r="I93" s="10" t="s">
        <v>398</v>
      </c>
      <c r="J93" s="10" t="s">
        <v>139</v>
      </c>
      <c r="K93" s="10" t="s">
        <v>178</v>
      </c>
      <c r="L93" s="10" t="s">
        <v>863</v>
      </c>
      <c r="M93" s="10" t="s">
        <v>864</v>
      </c>
      <c r="N93" s="10">
        <v>10</v>
      </c>
      <c r="O93" s="10" t="s">
        <v>865</v>
      </c>
      <c r="P93" s="10" t="s">
        <v>182</v>
      </c>
      <c r="Q93" s="10">
        <v>1</v>
      </c>
      <c r="R93" s="10" t="b">
        <v>1</v>
      </c>
      <c r="S93" s="10" t="b">
        <v>1</v>
      </c>
      <c r="T93" s="10" t="s">
        <v>866</v>
      </c>
      <c r="U93" s="10" t="b">
        <v>1</v>
      </c>
    </row>
    <row r="94" spans="1:21">
      <c r="K94" s="8"/>
      <c r="M94" s="8"/>
      <c r="Q94" s="8"/>
    </row>
    <row r="95" spans="1:21">
      <c r="K95" s="8"/>
      <c r="M95" s="8"/>
      <c r="Q95" s="8"/>
    </row>
    <row r="96" spans="1:21">
      <c r="K96" s="8"/>
      <c r="M96" s="8"/>
      <c r="Q96" s="8"/>
    </row>
    <row r="97" spans="11:17">
      <c r="K97" s="8"/>
      <c r="M97" s="8"/>
      <c r="Q97" s="8"/>
    </row>
    <row r="98" spans="11:17">
      <c r="K98" s="8"/>
      <c r="M98" s="8"/>
      <c r="Q98" s="8"/>
    </row>
    <row r="99" spans="11:17">
      <c r="K99" s="8"/>
      <c r="M99" s="8"/>
      <c r="Q99" s="8"/>
    </row>
    <row r="100" spans="11:17">
      <c r="K100" s="8"/>
      <c r="M100" s="8"/>
      <c r="Q100" s="8"/>
    </row>
    <row r="101" spans="11:17">
      <c r="K101" s="8"/>
      <c r="M101" s="8"/>
      <c r="Q101" s="8"/>
    </row>
    <row r="102" spans="11:17">
      <c r="K102" s="8"/>
      <c r="M102" s="8"/>
      <c r="Q102" s="8"/>
    </row>
    <row r="103" spans="11:17">
      <c r="K103" s="8"/>
      <c r="M103" s="8"/>
      <c r="Q103" s="8"/>
    </row>
    <row r="104" spans="11:17">
      <c r="K104" s="8"/>
      <c r="M104" s="8"/>
      <c r="Q104" s="8"/>
    </row>
    <row r="105" spans="11:17">
      <c r="K105" s="8"/>
      <c r="M105" s="8"/>
      <c r="Q105" s="8"/>
    </row>
    <row r="106" spans="11:17">
      <c r="K106" s="8"/>
      <c r="M106" s="8"/>
      <c r="Q106" s="8"/>
    </row>
    <row r="107" spans="11:17">
      <c r="K107" s="8"/>
      <c r="M107" s="8"/>
      <c r="Q107" s="8"/>
    </row>
    <row r="108" spans="11:17">
      <c r="K108" s="8"/>
      <c r="M108" s="8"/>
      <c r="Q108" s="8"/>
    </row>
    <row r="109" spans="11:17">
      <c r="K109" s="8"/>
      <c r="M109" s="8"/>
      <c r="Q109" s="8"/>
    </row>
    <row r="110" spans="11:17">
      <c r="K110" s="8"/>
      <c r="M110" s="8"/>
      <c r="Q110" s="8"/>
    </row>
    <row r="111" spans="11:17">
      <c r="K111" s="8"/>
      <c r="M111" s="8"/>
      <c r="Q111" s="8"/>
    </row>
    <row r="112" spans="11:17">
      <c r="K112" s="8"/>
      <c r="M112" s="8"/>
      <c r="Q112" s="8"/>
    </row>
    <row r="113" spans="11:17">
      <c r="K113" s="8"/>
      <c r="M113" s="8"/>
      <c r="Q113" s="8"/>
    </row>
    <row r="114" spans="11:17">
      <c r="K114" s="8"/>
      <c r="M114" s="8"/>
      <c r="Q114" s="8"/>
    </row>
    <row r="115" spans="11:17">
      <c r="K115" s="8"/>
      <c r="M115" s="8"/>
      <c r="Q115" s="8"/>
    </row>
    <row r="116" spans="11:17">
      <c r="K116" s="8"/>
      <c r="M116" s="8"/>
      <c r="Q116" s="8"/>
    </row>
    <row r="117" spans="11:17">
      <c r="K117" s="8"/>
      <c r="M117" s="8"/>
      <c r="Q117" s="8"/>
    </row>
    <row r="118" spans="11:17">
      <c r="K118" s="8"/>
      <c r="M118" s="8"/>
      <c r="Q118" s="8"/>
    </row>
    <row r="119" spans="11:17">
      <c r="K119" s="8"/>
      <c r="M119" s="8"/>
      <c r="Q119" s="8"/>
    </row>
    <row r="120" spans="11:17">
      <c r="K120" s="8"/>
      <c r="M120" s="8"/>
      <c r="Q120" s="8"/>
    </row>
    <row r="121" spans="11:17">
      <c r="K121" s="8"/>
      <c r="M121" s="8"/>
      <c r="Q121" s="8"/>
    </row>
    <row r="122" spans="11:17">
      <c r="K122" s="8"/>
      <c r="M122" s="8"/>
      <c r="Q122" s="8"/>
    </row>
    <row r="123" spans="11:17">
      <c r="K123" s="8"/>
      <c r="M123" s="8"/>
      <c r="Q123" s="8"/>
    </row>
    <row r="124" spans="11:17">
      <c r="K124" s="8"/>
      <c r="M124" s="8"/>
      <c r="Q124" s="8"/>
    </row>
    <row r="125" spans="11:17">
      <c r="K125" s="8"/>
      <c r="M125" s="8"/>
      <c r="Q125" s="8"/>
    </row>
    <row r="126" spans="11:17">
      <c r="K126" s="8"/>
      <c r="M126" s="8"/>
      <c r="Q126" s="8"/>
    </row>
    <row r="127" spans="11:17">
      <c r="K127" s="8"/>
      <c r="M127" s="8"/>
      <c r="Q127" s="8"/>
    </row>
    <row r="128" spans="11:17">
      <c r="K128" s="8"/>
      <c r="M128" s="8"/>
      <c r="Q128" s="8"/>
    </row>
    <row r="129" spans="11:17">
      <c r="K129" s="8"/>
      <c r="M129" s="8"/>
      <c r="Q129" s="8"/>
    </row>
    <row r="130" spans="11:17">
      <c r="K130" s="8"/>
      <c r="M130" s="8"/>
      <c r="Q130" s="8"/>
    </row>
    <row r="131" spans="11:17">
      <c r="K131" s="8"/>
      <c r="M131" s="8"/>
      <c r="Q131" s="8"/>
    </row>
    <row r="132" spans="11:17">
      <c r="K132" s="8"/>
      <c r="M132" s="8"/>
      <c r="Q132" s="8"/>
    </row>
    <row r="133" spans="11:17">
      <c r="K133" s="8"/>
      <c r="M133" s="8"/>
      <c r="Q133" s="8"/>
    </row>
    <row r="134" spans="11:17">
      <c r="K134" s="8"/>
      <c r="M134" s="8"/>
      <c r="Q134" s="8"/>
    </row>
    <row r="135" spans="11:17">
      <c r="K135" s="8"/>
      <c r="M135" s="8"/>
      <c r="Q135" s="8"/>
    </row>
    <row r="136" spans="11:17">
      <c r="K136" s="8"/>
      <c r="M136" s="8"/>
      <c r="Q136" s="8"/>
    </row>
    <row r="137" spans="11:17">
      <c r="K137" s="8"/>
      <c r="M137" s="8"/>
      <c r="Q137" s="8"/>
    </row>
    <row r="138" spans="11:17">
      <c r="K138" s="8"/>
      <c r="M138" s="8"/>
      <c r="Q138" s="8"/>
    </row>
    <row r="139" spans="11:17">
      <c r="K139" s="8"/>
      <c r="M139" s="8"/>
      <c r="Q139" s="8"/>
    </row>
    <row r="140" spans="11:17">
      <c r="K140" s="8"/>
      <c r="M140" s="8"/>
      <c r="Q140" s="8"/>
    </row>
    <row r="141" spans="11:17">
      <c r="K141" s="8"/>
      <c r="M141" s="8"/>
      <c r="Q141" s="8"/>
    </row>
    <row r="142" spans="11:17">
      <c r="K142" s="8"/>
      <c r="M142" s="8"/>
      <c r="Q142" s="8"/>
    </row>
    <row r="143" spans="11:17">
      <c r="K143" s="8"/>
      <c r="M143" s="8"/>
      <c r="Q143" s="8"/>
    </row>
    <row r="144" spans="11:17">
      <c r="K144" s="8"/>
      <c r="M144" s="8"/>
      <c r="Q144" s="8"/>
    </row>
    <row r="145" spans="11:17">
      <c r="K145" s="8"/>
      <c r="M145" s="8"/>
      <c r="Q145" s="8"/>
    </row>
    <row r="146" spans="11:17">
      <c r="K146" s="8"/>
      <c r="M146" s="8"/>
      <c r="Q146" s="8"/>
    </row>
    <row r="147" spans="11:17">
      <c r="K147" s="8"/>
      <c r="M147" s="8"/>
      <c r="Q147" s="8"/>
    </row>
    <row r="148" spans="11:17">
      <c r="K148" s="8"/>
      <c r="M148" s="8"/>
      <c r="Q148" s="8"/>
    </row>
    <row r="149" spans="11:17">
      <c r="K149" s="8"/>
      <c r="M149" s="8"/>
      <c r="Q149" s="8"/>
    </row>
    <row r="150" spans="11:17">
      <c r="K150" s="8"/>
      <c r="M150" s="8"/>
      <c r="Q150" s="8"/>
    </row>
    <row r="151" spans="11:17">
      <c r="K151" s="8"/>
      <c r="M151" s="8"/>
      <c r="Q151" s="8"/>
    </row>
    <row r="152" spans="11:17">
      <c r="K152" s="8"/>
      <c r="M152" s="8"/>
      <c r="Q152" s="8"/>
    </row>
    <row r="153" spans="11:17">
      <c r="K153" s="8"/>
      <c r="M153" s="8"/>
      <c r="Q153" s="8"/>
    </row>
    <row r="154" spans="11:17">
      <c r="K154" s="8"/>
      <c r="M154" s="8"/>
      <c r="Q154" s="8"/>
    </row>
    <row r="155" spans="11:17">
      <c r="K155" s="8"/>
      <c r="M155" s="8"/>
      <c r="Q155" s="8"/>
    </row>
    <row r="156" spans="11:17">
      <c r="K156" s="8"/>
      <c r="M156" s="8"/>
      <c r="Q156" s="8"/>
    </row>
    <row r="157" spans="11:17">
      <c r="K157" s="8"/>
      <c r="M157" s="8"/>
      <c r="Q157" s="8"/>
    </row>
    <row r="158" spans="11:17">
      <c r="K158" s="8"/>
      <c r="M158" s="8"/>
      <c r="Q158" s="8"/>
    </row>
    <row r="159" spans="11:17">
      <c r="K159" s="8"/>
      <c r="M159" s="8"/>
      <c r="Q159" s="8"/>
    </row>
    <row r="160" spans="11:17">
      <c r="K160" s="8"/>
      <c r="M160" s="8"/>
      <c r="Q160" s="8"/>
    </row>
    <row r="161" spans="11:17">
      <c r="K161" s="8"/>
      <c r="M161" s="8"/>
      <c r="Q161" s="8"/>
    </row>
    <row r="162" spans="11:17">
      <c r="K162" s="8"/>
      <c r="M162" s="8"/>
      <c r="Q162" s="8"/>
    </row>
    <row r="163" spans="11:17">
      <c r="K163" s="8"/>
      <c r="M163" s="8"/>
      <c r="Q163" s="8"/>
    </row>
    <row r="164" spans="11:17">
      <c r="K164" s="8"/>
      <c r="M164" s="8"/>
      <c r="Q164" s="8"/>
    </row>
    <row r="165" spans="11:17">
      <c r="K165" s="8"/>
      <c r="M165" s="8"/>
      <c r="Q165" s="8"/>
    </row>
    <row r="166" spans="11:17">
      <c r="K166" s="8"/>
      <c r="M166" s="8"/>
      <c r="Q166" s="8"/>
    </row>
    <row r="167" spans="11:17">
      <c r="K167" s="8"/>
      <c r="M167" s="8"/>
      <c r="Q167" s="8"/>
    </row>
    <row r="168" spans="11:17">
      <c r="K168" s="8"/>
      <c r="M168" s="8"/>
      <c r="Q168" s="8"/>
    </row>
    <row r="169" spans="11:17">
      <c r="K169" s="8"/>
      <c r="M169" s="8"/>
      <c r="Q169" s="8"/>
    </row>
    <row r="170" spans="11:17">
      <c r="K170" s="8"/>
      <c r="M170" s="8"/>
      <c r="Q170" s="8"/>
    </row>
    <row r="171" spans="11:17">
      <c r="K171" s="8"/>
      <c r="M171" s="8"/>
      <c r="Q171" s="8"/>
    </row>
    <row r="172" spans="11:17">
      <c r="K172" s="8"/>
      <c r="M172" s="8"/>
      <c r="Q172" s="8"/>
    </row>
    <row r="173" spans="11:17">
      <c r="K173" s="8"/>
      <c r="M173" s="8"/>
      <c r="Q173" s="8"/>
    </row>
    <row r="174" spans="11:17">
      <c r="K174" s="8"/>
      <c r="M174" s="8"/>
      <c r="Q174" s="8"/>
    </row>
    <row r="175" spans="11:17">
      <c r="K175" s="8"/>
      <c r="M175" s="8"/>
      <c r="Q175" s="8"/>
    </row>
    <row r="176" spans="11:17">
      <c r="K176" s="8"/>
      <c r="M176" s="8"/>
      <c r="Q176" s="8"/>
    </row>
    <row r="177" spans="11:17">
      <c r="K177" s="8"/>
      <c r="M177" s="8"/>
      <c r="Q177" s="8"/>
    </row>
    <row r="178" spans="11:17">
      <c r="K178" s="8"/>
      <c r="M178" s="8"/>
      <c r="Q178" s="8"/>
    </row>
    <row r="179" spans="11:17">
      <c r="K179" s="8"/>
      <c r="M179" s="8"/>
      <c r="Q179" s="8"/>
    </row>
    <row r="180" spans="11:17">
      <c r="K180" s="8"/>
      <c r="M180" s="8"/>
      <c r="Q180" s="8"/>
    </row>
    <row r="181" spans="11:17">
      <c r="K181" s="8"/>
      <c r="M181" s="8"/>
      <c r="Q181" s="8"/>
    </row>
    <row r="182" spans="11:17">
      <c r="K182" s="8"/>
      <c r="M182" s="8"/>
      <c r="Q182" s="8"/>
    </row>
    <row r="183" spans="11:17">
      <c r="K183" s="8"/>
      <c r="M183" s="8"/>
      <c r="Q183" s="8"/>
    </row>
    <row r="184" spans="11:17">
      <c r="K184" s="8"/>
      <c r="M184" s="8"/>
      <c r="Q184" s="8"/>
    </row>
    <row r="185" spans="11:17">
      <c r="K185" s="8"/>
      <c r="M185" s="8"/>
      <c r="Q185" s="8"/>
    </row>
    <row r="186" spans="11:17">
      <c r="K186" s="8"/>
      <c r="M186" s="8"/>
      <c r="Q186" s="8"/>
    </row>
    <row r="187" spans="11:17">
      <c r="K187" s="8"/>
      <c r="M187" s="8"/>
      <c r="Q187" s="8"/>
    </row>
    <row r="188" spans="11:17">
      <c r="K188" s="8"/>
      <c r="M188" s="8"/>
      <c r="Q188" s="8"/>
    </row>
    <row r="189" spans="11:17">
      <c r="K189" s="8"/>
      <c r="M189" s="8"/>
      <c r="Q189" s="8"/>
    </row>
    <row r="190" spans="11:17">
      <c r="K190" s="8"/>
      <c r="M190" s="8"/>
      <c r="Q190" s="8"/>
    </row>
    <row r="191" spans="11:17">
      <c r="K191" s="8"/>
      <c r="M191" s="8"/>
      <c r="Q191" s="8"/>
    </row>
    <row r="192" spans="11:17">
      <c r="K192" s="8"/>
      <c r="M192" s="8"/>
      <c r="Q192" s="8"/>
    </row>
    <row r="193" spans="11:17">
      <c r="K193" s="8"/>
      <c r="M193" s="8"/>
      <c r="Q193" s="8"/>
    </row>
    <row r="194" spans="11:17">
      <c r="K194" s="8"/>
      <c r="M194" s="8"/>
      <c r="Q194" s="8"/>
    </row>
    <row r="195" spans="11:17">
      <c r="K195" s="8"/>
      <c r="M195" s="8"/>
      <c r="Q195" s="8"/>
    </row>
    <row r="196" spans="11:17">
      <c r="K196" s="8"/>
      <c r="M196" s="8"/>
      <c r="Q196" s="8"/>
    </row>
    <row r="197" spans="11:17">
      <c r="K197" s="8"/>
      <c r="M197" s="8"/>
      <c r="Q197" s="8"/>
    </row>
    <row r="198" spans="11:17">
      <c r="K198" s="8"/>
      <c r="M198" s="8"/>
      <c r="Q198" s="8"/>
    </row>
    <row r="199" spans="11:17">
      <c r="K199" s="8"/>
      <c r="M199" s="8"/>
      <c r="Q199" s="8"/>
    </row>
    <row r="200" spans="11:17">
      <c r="K200" s="8"/>
      <c r="M200" s="8"/>
      <c r="Q200" s="8"/>
    </row>
    <row r="201" spans="11:17">
      <c r="K201" s="8"/>
      <c r="M201" s="8"/>
      <c r="Q201" s="8"/>
    </row>
    <row r="202" spans="11:17">
      <c r="K202" s="8"/>
      <c r="M202" s="8"/>
      <c r="Q202" s="8"/>
    </row>
    <row r="203" spans="11:17">
      <c r="K203" s="8"/>
      <c r="M203" s="8"/>
      <c r="Q203" s="8"/>
    </row>
    <row r="204" spans="11:17">
      <c r="K204" s="8"/>
      <c r="M204" s="8"/>
      <c r="Q204" s="8"/>
    </row>
    <row r="205" spans="11:17">
      <c r="K205" s="8"/>
      <c r="M205" s="8"/>
      <c r="Q205" s="8"/>
    </row>
    <row r="206" spans="11:17">
      <c r="K206" s="8"/>
      <c r="M206" s="8"/>
      <c r="Q206" s="8"/>
    </row>
    <row r="207" spans="11:17">
      <c r="K207" s="8"/>
      <c r="M207" s="8"/>
      <c r="Q207" s="8"/>
    </row>
    <row r="208" spans="11:17">
      <c r="K208" s="8"/>
      <c r="M208" s="8"/>
      <c r="Q208" s="8"/>
    </row>
    <row r="209" spans="11:17">
      <c r="K209" s="8"/>
      <c r="M209" s="8"/>
      <c r="Q209" s="8"/>
    </row>
    <row r="210" spans="11:17">
      <c r="K210" s="8"/>
      <c r="M210" s="8"/>
      <c r="Q210" s="8"/>
    </row>
    <row r="211" spans="11:17">
      <c r="K211" s="8"/>
      <c r="M211" s="8"/>
      <c r="Q211" s="8"/>
    </row>
    <row r="212" spans="11:17">
      <c r="K212" s="8"/>
      <c r="M212" s="8"/>
      <c r="Q212" s="8"/>
    </row>
    <row r="213" spans="11:17">
      <c r="K213" s="8"/>
      <c r="M213" s="8"/>
      <c r="Q213" s="8"/>
    </row>
    <row r="214" spans="11:17">
      <c r="K214" s="8"/>
      <c r="M214" s="8"/>
      <c r="Q214" s="8"/>
    </row>
    <row r="215" spans="11:17">
      <c r="K215" s="8"/>
      <c r="M215" s="8"/>
      <c r="Q215" s="8"/>
    </row>
    <row r="216" spans="11:17">
      <c r="K216" s="8"/>
      <c r="M216" s="8"/>
      <c r="Q216" s="8"/>
    </row>
    <row r="217" spans="11:17">
      <c r="K217" s="8"/>
      <c r="M217" s="8"/>
      <c r="Q217" s="8"/>
    </row>
    <row r="218" spans="11:17">
      <c r="K218" s="8"/>
      <c r="M218" s="8"/>
      <c r="Q218" s="8"/>
    </row>
    <row r="219" spans="11:17">
      <c r="K219" s="8"/>
      <c r="M219" s="8"/>
      <c r="Q219" s="8"/>
    </row>
    <row r="220" spans="11:17">
      <c r="K220" s="8"/>
      <c r="M220" s="8"/>
      <c r="Q220" s="8"/>
    </row>
    <row r="221" spans="11:17">
      <c r="K221" s="8"/>
      <c r="M221" s="8"/>
      <c r="Q221" s="8"/>
    </row>
    <row r="222" spans="11:17">
      <c r="K222" s="8"/>
      <c r="M222" s="8"/>
      <c r="Q222" s="8"/>
    </row>
    <row r="223" spans="11:17">
      <c r="K223" s="8"/>
      <c r="M223" s="8"/>
      <c r="Q223" s="8"/>
    </row>
    <row r="224" spans="11:17">
      <c r="K224" s="8"/>
      <c r="M224" s="8"/>
      <c r="Q224" s="8"/>
    </row>
    <row r="225" spans="11:17">
      <c r="K225" s="8"/>
      <c r="M225" s="8"/>
      <c r="Q225" s="8"/>
    </row>
    <row r="226" spans="11:17">
      <c r="K226" s="8"/>
      <c r="M226" s="8"/>
      <c r="Q226" s="8"/>
    </row>
    <row r="227" spans="11:17">
      <c r="K227" s="8"/>
      <c r="M227" s="8"/>
      <c r="Q227" s="8"/>
    </row>
    <row r="228" spans="11:17">
      <c r="K228" s="8"/>
      <c r="M228" s="8"/>
      <c r="Q228" s="8"/>
    </row>
    <row r="229" spans="11:17">
      <c r="K229" s="8"/>
      <c r="M229" s="8"/>
      <c r="Q229" s="8"/>
    </row>
    <row r="230" spans="11:17">
      <c r="K230" s="8"/>
      <c r="M230" s="8"/>
      <c r="Q230" s="8"/>
    </row>
    <row r="231" spans="11:17">
      <c r="K231" s="8"/>
      <c r="M231" s="8"/>
      <c r="Q231" s="8"/>
    </row>
    <row r="232" spans="11:17">
      <c r="K232" s="8"/>
      <c r="M232" s="8"/>
      <c r="Q232" s="8"/>
    </row>
    <row r="233" spans="11:17">
      <c r="K233" s="8"/>
      <c r="M233" s="8"/>
      <c r="Q233" s="8"/>
    </row>
    <row r="234" spans="11:17">
      <c r="K234" s="8"/>
      <c r="M234" s="8"/>
      <c r="Q234" s="8"/>
    </row>
    <row r="235" spans="11:17">
      <c r="K235" s="8"/>
      <c r="M235" s="8"/>
      <c r="Q235" s="8"/>
    </row>
    <row r="236" spans="11:17">
      <c r="K236" s="8"/>
      <c r="M236" s="8"/>
      <c r="Q236" s="8"/>
    </row>
    <row r="237" spans="11:17">
      <c r="K237" s="8"/>
      <c r="M237" s="8"/>
      <c r="Q237" s="8"/>
    </row>
    <row r="238" spans="11:17">
      <c r="K238" s="8"/>
      <c r="M238" s="8"/>
      <c r="Q238" s="8"/>
    </row>
    <row r="239" spans="11:17">
      <c r="K239" s="8"/>
      <c r="M239" s="8"/>
      <c r="Q239" s="8"/>
    </row>
    <row r="240" spans="11:17">
      <c r="K240" s="8"/>
      <c r="M240" s="8"/>
      <c r="Q240" s="8"/>
    </row>
    <row r="241" spans="11:17">
      <c r="K241" s="8"/>
      <c r="M241" s="8"/>
      <c r="Q241" s="8"/>
    </row>
    <row r="242" spans="11:17">
      <c r="K242" s="8"/>
      <c r="M242" s="8"/>
      <c r="Q242" s="8"/>
    </row>
    <row r="243" spans="11:17">
      <c r="K243" s="8"/>
      <c r="M243" s="8"/>
      <c r="Q243" s="8"/>
    </row>
    <row r="244" spans="11:17">
      <c r="K244" s="8"/>
      <c r="M244" s="8"/>
      <c r="Q244" s="8"/>
    </row>
    <row r="245" spans="11:17">
      <c r="K245" s="8"/>
      <c r="M245" s="8"/>
      <c r="Q245" s="8"/>
    </row>
    <row r="246" spans="11:17">
      <c r="K246" s="8"/>
      <c r="M246" s="8"/>
      <c r="Q246" s="8"/>
    </row>
    <row r="247" spans="11:17">
      <c r="K247" s="8"/>
      <c r="M247" s="8"/>
      <c r="Q247" s="8"/>
    </row>
    <row r="248" spans="11:17">
      <c r="K248" s="8"/>
      <c r="M248" s="8"/>
      <c r="Q248" s="8"/>
    </row>
    <row r="249" spans="11:17">
      <c r="K249" s="8"/>
      <c r="M249" s="8"/>
      <c r="Q249" s="8"/>
    </row>
    <row r="250" spans="11:17">
      <c r="K250" s="8"/>
      <c r="M250" s="8"/>
      <c r="Q250" s="8"/>
    </row>
    <row r="251" spans="11:17">
      <c r="K251" s="8"/>
      <c r="M251" s="8"/>
      <c r="Q251" s="8"/>
    </row>
    <row r="252" spans="11:17">
      <c r="K252" s="8"/>
      <c r="M252" s="8"/>
      <c r="Q252" s="8"/>
    </row>
    <row r="253" spans="11:17">
      <c r="K253" s="8"/>
      <c r="M253" s="8"/>
      <c r="Q253" s="8"/>
    </row>
    <row r="254" spans="11:17">
      <c r="K254" s="8"/>
      <c r="M254" s="8"/>
      <c r="Q254" s="8"/>
    </row>
    <row r="255" spans="11:17">
      <c r="K255" s="8"/>
      <c r="M255" s="8"/>
      <c r="Q255" s="8"/>
    </row>
    <row r="256" spans="11:17">
      <c r="K256" s="8"/>
      <c r="M256" s="8"/>
      <c r="Q256" s="8"/>
    </row>
    <row r="257" spans="11:17">
      <c r="K257" s="8"/>
      <c r="M257" s="8"/>
      <c r="Q257" s="8"/>
    </row>
    <row r="258" spans="11:17">
      <c r="K258" s="8"/>
      <c r="M258" s="8"/>
      <c r="Q258" s="8"/>
    </row>
    <row r="259" spans="11:17">
      <c r="K259" s="8"/>
      <c r="M259" s="8"/>
      <c r="Q259" s="8"/>
    </row>
    <row r="260" spans="11:17">
      <c r="K260" s="8"/>
      <c r="M260" s="8"/>
      <c r="Q260" s="8"/>
    </row>
    <row r="261" spans="11:17">
      <c r="K261" s="8"/>
      <c r="M261" s="8"/>
      <c r="Q261" s="8"/>
    </row>
    <row r="262" spans="11:17">
      <c r="K262" s="8"/>
      <c r="M262" s="8"/>
      <c r="Q262" s="8"/>
    </row>
    <row r="263" spans="11:17">
      <c r="K263" s="8"/>
      <c r="M263" s="8"/>
      <c r="Q263" s="8"/>
    </row>
    <row r="264" spans="11:17">
      <c r="K264" s="8"/>
      <c r="M264" s="8"/>
      <c r="Q264" s="8"/>
    </row>
    <row r="265" spans="11:17">
      <c r="K265" s="8"/>
      <c r="M265" s="8"/>
      <c r="Q265" s="8"/>
    </row>
    <row r="266" spans="11:17">
      <c r="K266" s="8"/>
      <c r="M266" s="8"/>
      <c r="Q266" s="8"/>
    </row>
    <row r="267" spans="11:17">
      <c r="K267" s="8"/>
      <c r="M267" s="8"/>
      <c r="Q267" s="8"/>
    </row>
    <row r="268" spans="11:17">
      <c r="K268" s="8"/>
      <c r="M268" s="8"/>
      <c r="Q268" s="8"/>
    </row>
    <row r="269" spans="11:17">
      <c r="K269" s="8"/>
      <c r="M269" s="8"/>
      <c r="Q269" s="8"/>
    </row>
    <row r="270" spans="11:17">
      <c r="K270" s="8"/>
      <c r="M270" s="8"/>
      <c r="Q270" s="8"/>
    </row>
    <row r="271" spans="11:17">
      <c r="K271" s="8"/>
      <c r="M271" s="8"/>
      <c r="Q271" s="8"/>
    </row>
    <row r="272" spans="11:17">
      <c r="K272" s="8"/>
      <c r="M272" s="8"/>
      <c r="Q272" s="8"/>
    </row>
    <row r="273" spans="11:17">
      <c r="K273" s="8"/>
      <c r="M273" s="8"/>
      <c r="Q273" s="8"/>
    </row>
    <row r="274" spans="11:17">
      <c r="K274" s="8"/>
      <c r="M274" s="8"/>
      <c r="Q274" s="8"/>
    </row>
    <row r="275" spans="11:17">
      <c r="K275" s="8"/>
      <c r="M275" s="8"/>
      <c r="Q275" s="8"/>
    </row>
    <row r="276" spans="11:17">
      <c r="K276" s="8"/>
      <c r="M276" s="8"/>
      <c r="Q276" s="8"/>
    </row>
    <row r="277" spans="11:17">
      <c r="K277" s="8"/>
      <c r="M277" s="8"/>
      <c r="Q277" s="8"/>
    </row>
    <row r="278" spans="11:17">
      <c r="K278" s="8"/>
      <c r="M278" s="8"/>
      <c r="Q278" s="8"/>
    </row>
    <row r="279" spans="11:17">
      <c r="K279" s="8"/>
      <c r="M279" s="8"/>
      <c r="Q279" s="8"/>
    </row>
    <row r="280" spans="11:17">
      <c r="K280" s="8"/>
      <c r="M280" s="8"/>
      <c r="Q280" s="8"/>
    </row>
    <row r="281" spans="11:17">
      <c r="K281" s="8"/>
      <c r="M281" s="8"/>
      <c r="Q281" s="8"/>
    </row>
    <row r="282" spans="11:17">
      <c r="K282" s="8"/>
      <c r="M282" s="8"/>
      <c r="Q282" s="8"/>
    </row>
    <row r="283" spans="11:17">
      <c r="K283" s="8"/>
      <c r="M283" s="8"/>
      <c r="Q283" s="8"/>
    </row>
    <row r="284" spans="11:17">
      <c r="K284" s="8"/>
      <c r="M284" s="8"/>
      <c r="Q284" s="8"/>
    </row>
    <row r="285" spans="11:17">
      <c r="K285" s="8"/>
      <c r="M285" s="8"/>
      <c r="Q285" s="8"/>
    </row>
    <row r="286" spans="11:17">
      <c r="K286" s="8"/>
      <c r="M286" s="8"/>
      <c r="Q286" s="8"/>
    </row>
    <row r="287" spans="11:17">
      <c r="K287" s="8"/>
      <c r="M287" s="8"/>
      <c r="Q287" s="8"/>
    </row>
    <row r="288" spans="11:17">
      <c r="K288" s="8"/>
      <c r="M288" s="8"/>
      <c r="Q288" s="8"/>
    </row>
    <row r="289" spans="11:17">
      <c r="K289" s="8"/>
      <c r="M289" s="8"/>
      <c r="Q289" s="8"/>
    </row>
    <row r="290" spans="11:17">
      <c r="K290" s="8"/>
      <c r="M290" s="8"/>
      <c r="Q290" s="8"/>
    </row>
    <row r="291" spans="11:17">
      <c r="K291" s="8"/>
      <c r="M291" s="8"/>
      <c r="Q291" s="8"/>
    </row>
    <row r="292" spans="11:17">
      <c r="K292" s="8"/>
      <c r="M292" s="8"/>
      <c r="Q292" s="8"/>
    </row>
    <row r="293" spans="11:17">
      <c r="K293" s="8"/>
      <c r="M293" s="8"/>
      <c r="Q293" s="8"/>
    </row>
    <row r="294" spans="11:17">
      <c r="K294" s="8"/>
      <c r="M294" s="8"/>
      <c r="Q294" s="8"/>
    </row>
    <row r="295" spans="11:17">
      <c r="K295" s="8"/>
      <c r="M295" s="8"/>
      <c r="Q295" s="8"/>
    </row>
    <row r="296" spans="11:17">
      <c r="K296" s="8"/>
      <c r="M296" s="8"/>
      <c r="Q296" s="8"/>
    </row>
    <row r="297" spans="11:17">
      <c r="K297" s="8"/>
      <c r="M297" s="8"/>
      <c r="Q297" s="8"/>
    </row>
    <row r="298" spans="11:17">
      <c r="K298" s="8"/>
      <c r="M298" s="8"/>
      <c r="Q298" s="8"/>
    </row>
    <row r="299" spans="11:17">
      <c r="K299" s="8"/>
      <c r="M299" s="8"/>
      <c r="Q299" s="8"/>
    </row>
    <row r="300" spans="11:17">
      <c r="K300" s="8"/>
      <c r="M300" s="8"/>
      <c r="Q300" s="8"/>
    </row>
    <row r="301" spans="11:17">
      <c r="K301" s="8"/>
      <c r="M301" s="8"/>
      <c r="Q301" s="8"/>
    </row>
    <row r="302" spans="11:17">
      <c r="K302" s="8"/>
      <c r="M302" s="8"/>
      <c r="Q302" s="8"/>
    </row>
    <row r="303" spans="11:17">
      <c r="K303" s="8"/>
      <c r="M303" s="8"/>
      <c r="Q303" s="8"/>
    </row>
    <row r="304" spans="11:17">
      <c r="K304" s="8"/>
      <c r="M304" s="8"/>
      <c r="Q304" s="8"/>
    </row>
    <row r="305" spans="11:17">
      <c r="K305" s="8"/>
      <c r="M305" s="8"/>
      <c r="Q305" s="8"/>
    </row>
    <row r="306" spans="11:17">
      <c r="K306" s="8"/>
      <c r="M306" s="8"/>
      <c r="Q306" s="8"/>
    </row>
    <row r="307" spans="11:17">
      <c r="K307" s="8"/>
      <c r="M307" s="8"/>
      <c r="Q307" s="8"/>
    </row>
    <row r="308" spans="11:17">
      <c r="K308" s="8"/>
      <c r="M308" s="8"/>
      <c r="Q308" s="8"/>
    </row>
    <row r="309" spans="11:17">
      <c r="K309" s="8"/>
      <c r="M309" s="8"/>
      <c r="Q309" s="8"/>
    </row>
    <row r="310" spans="11:17">
      <c r="K310" s="8"/>
      <c r="M310" s="8"/>
      <c r="Q310" s="8"/>
    </row>
    <row r="311" spans="11:17">
      <c r="K311" s="8"/>
      <c r="M311" s="8"/>
      <c r="Q311" s="8"/>
    </row>
    <row r="312" spans="11:17">
      <c r="K312" s="8"/>
      <c r="M312" s="8"/>
      <c r="Q312" s="8"/>
    </row>
    <row r="313" spans="11:17">
      <c r="K313" s="8"/>
      <c r="M313" s="8"/>
      <c r="Q313" s="8"/>
    </row>
    <row r="314" spans="11:17">
      <c r="K314" s="8"/>
      <c r="M314" s="8"/>
      <c r="Q314" s="8"/>
    </row>
    <row r="315" spans="11:17">
      <c r="K315" s="8"/>
      <c r="M315" s="8"/>
      <c r="Q315" s="8"/>
    </row>
    <row r="316" spans="11:17">
      <c r="K316" s="8"/>
      <c r="M316" s="8"/>
      <c r="Q316" s="8"/>
    </row>
    <row r="317" spans="11:17">
      <c r="K317" s="8"/>
      <c r="M317" s="8"/>
      <c r="Q317" s="8"/>
    </row>
    <row r="318" spans="11:17">
      <c r="K318" s="8"/>
      <c r="M318" s="8"/>
      <c r="Q318" s="8"/>
    </row>
    <row r="319" spans="11:17">
      <c r="K319" s="8"/>
      <c r="M319" s="8"/>
      <c r="Q319" s="8"/>
    </row>
    <row r="320" spans="11:17">
      <c r="K320" s="8"/>
      <c r="M320" s="8"/>
      <c r="Q320" s="8"/>
    </row>
    <row r="321" spans="11:17">
      <c r="K321" s="8"/>
      <c r="M321" s="8"/>
      <c r="Q321" s="8"/>
    </row>
    <row r="322" spans="11:17">
      <c r="K322" s="8"/>
      <c r="M322" s="8"/>
      <c r="Q322" s="8"/>
    </row>
    <row r="323" spans="11:17">
      <c r="K323" s="8"/>
      <c r="M323" s="8"/>
      <c r="Q323" s="8"/>
    </row>
    <row r="324" spans="11:17">
      <c r="K324" s="8"/>
      <c r="M324" s="8"/>
      <c r="Q324" s="8"/>
    </row>
    <row r="325" spans="11:17">
      <c r="K325" s="8"/>
      <c r="M325" s="8"/>
      <c r="Q325" s="8"/>
    </row>
    <row r="326" spans="11:17">
      <c r="K326" s="8"/>
      <c r="M326" s="8"/>
      <c r="Q326" s="8"/>
    </row>
    <row r="327" spans="11:17">
      <c r="K327" s="8"/>
      <c r="M327" s="8"/>
      <c r="Q327" s="8"/>
    </row>
    <row r="328" spans="11:17">
      <c r="K328" s="8"/>
      <c r="M328" s="8"/>
      <c r="Q328" s="8"/>
    </row>
    <row r="329" spans="11:17">
      <c r="K329" s="8"/>
      <c r="M329" s="8"/>
      <c r="Q329" s="8"/>
    </row>
    <row r="330" spans="11:17">
      <c r="K330" s="8"/>
      <c r="M330" s="8"/>
      <c r="Q330" s="8"/>
    </row>
    <row r="331" spans="11:17">
      <c r="K331" s="8"/>
      <c r="M331" s="8"/>
      <c r="Q331" s="8"/>
    </row>
    <row r="332" spans="11:17">
      <c r="K332" s="8"/>
      <c r="M332" s="8"/>
      <c r="Q332" s="8"/>
    </row>
    <row r="333" spans="11:17">
      <c r="K333" s="8"/>
      <c r="M333" s="8"/>
      <c r="Q333" s="8"/>
    </row>
    <row r="334" spans="11:17">
      <c r="K334" s="8"/>
      <c r="M334" s="8"/>
      <c r="Q334" s="8"/>
    </row>
    <row r="335" spans="11:17">
      <c r="K335" s="8"/>
      <c r="M335" s="8"/>
      <c r="Q335" s="8"/>
    </row>
    <row r="336" spans="11:17">
      <c r="K336" s="8"/>
      <c r="M336" s="8"/>
      <c r="Q336" s="8"/>
    </row>
    <row r="337" spans="11:17">
      <c r="K337" s="8"/>
      <c r="M337" s="8"/>
      <c r="Q337" s="8"/>
    </row>
    <row r="338" spans="11:17">
      <c r="K338" s="8"/>
      <c r="M338" s="8"/>
      <c r="Q338" s="8"/>
    </row>
    <row r="339" spans="11:17">
      <c r="K339" s="8"/>
      <c r="M339" s="8"/>
      <c r="Q339" s="8"/>
    </row>
    <row r="340" spans="11:17">
      <c r="K340" s="8"/>
      <c r="M340" s="8"/>
      <c r="Q340" s="8"/>
    </row>
    <row r="341" spans="11:17">
      <c r="K341" s="8"/>
      <c r="M341" s="8"/>
      <c r="Q341" s="8"/>
    </row>
    <row r="342" spans="11:17">
      <c r="K342" s="8"/>
      <c r="M342" s="8"/>
      <c r="Q342" s="8"/>
    </row>
    <row r="343" spans="11:17">
      <c r="K343" s="8"/>
      <c r="M343" s="8"/>
      <c r="Q343" s="8"/>
    </row>
    <row r="344" spans="11:17">
      <c r="K344" s="8"/>
      <c r="M344" s="8"/>
      <c r="Q344" s="8"/>
    </row>
    <row r="345" spans="11:17">
      <c r="K345" s="8"/>
      <c r="M345" s="8"/>
      <c r="Q345" s="8"/>
    </row>
    <row r="346" spans="11:17">
      <c r="K346" s="8"/>
      <c r="M346" s="8"/>
      <c r="Q346" s="8"/>
    </row>
    <row r="347" spans="11:17">
      <c r="K347" s="8"/>
      <c r="M347" s="8"/>
      <c r="Q347" s="8"/>
    </row>
    <row r="348" spans="11:17">
      <c r="K348" s="8"/>
      <c r="M348" s="8"/>
      <c r="Q348" s="8"/>
    </row>
    <row r="349" spans="11:17">
      <c r="K349" s="8"/>
      <c r="M349" s="8"/>
      <c r="Q349" s="8"/>
    </row>
    <row r="350" spans="11:17">
      <c r="K350" s="8"/>
      <c r="M350" s="8"/>
      <c r="Q350" s="8"/>
    </row>
    <row r="351" spans="11:17">
      <c r="K351" s="8"/>
      <c r="M351" s="8"/>
      <c r="Q351" s="8"/>
    </row>
    <row r="352" spans="11:17">
      <c r="K352" s="8"/>
      <c r="M352" s="8"/>
      <c r="Q352" s="8"/>
    </row>
    <row r="353" spans="11:17">
      <c r="K353" s="8"/>
      <c r="M353" s="8"/>
      <c r="Q353" s="8"/>
    </row>
    <row r="354" spans="11:17">
      <c r="K354" s="8"/>
      <c r="M354" s="8"/>
      <c r="Q354" s="8"/>
    </row>
    <row r="355" spans="11:17">
      <c r="K355" s="8"/>
      <c r="M355" s="8"/>
      <c r="Q355" s="8"/>
    </row>
    <row r="356" spans="11:17">
      <c r="K356" s="8"/>
      <c r="M356" s="8"/>
      <c r="Q356" s="8"/>
    </row>
    <row r="357" spans="11:17">
      <c r="K357" s="8"/>
      <c r="M357" s="8"/>
      <c r="Q357" s="8"/>
    </row>
    <row r="358" spans="11:17">
      <c r="K358" s="8"/>
      <c r="M358" s="8"/>
      <c r="Q358" s="8"/>
    </row>
    <row r="359" spans="11:17">
      <c r="K359" s="8"/>
      <c r="M359" s="8"/>
      <c r="Q359" s="8"/>
    </row>
    <row r="360" spans="11:17">
      <c r="K360" s="8"/>
      <c r="M360" s="8"/>
      <c r="Q360" s="8"/>
    </row>
    <row r="361" spans="11:17">
      <c r="K361" s="8"/>
      <c r="M361" s="8"/>
      <c r="Q361" s="8"/>
    </row>
    <row r="362" spans="11:17">
      <c r="K362" s="8"/>
      <c r="M362" s="8"/>
      <c r="Q362" s="8"/>
    </row>
    <row r="363" spans="11:17">
      <c r="K363" s="8"/>
      <c r="M363" s="8"/>
      <c r="Q363" s="8"/>
    </row>
    <row r="364" spans="11:17">
      <c r="K364" s="8"/>
      <c r="M364" s="8"/>
      <c r="Q364" s="8"/>
    </row>
    <row r="365" spans="11:17">
      <c r="K365" s="8"/>
      <c r="M365" s="8"/>
      <c r="Q365" s="8"/>
    </row>
    <row r="366" spans="11:17">
      <c r="K366" s="8"/>
      <c r="M366" s="8"/>
      <c r="Q366" s="8"/>
    </row>
    <row r="367" spans="11:17">
      <c r="K367" s="8"/>
      <c r="M367" s="8"/>
      <c r="Q367" s="8"/>
    </row>
    <row r="368" spans="11:17">
      <c r="K368" s="8"/>
      <c r="M368" s="8"/>
      <c r="Q368" s="8"/>
    </row>
    <row r="369" spans="11:17">
      <c r="K369" s="8"/>
      <c r="M369" s="8"/>
      <c r="Q369" s="8"/>
    </row>
    <row r="370" spans="11:17">
      <c r="K370" s="8"/>
      <c r="M370" s="8"/>
      <c r="Q370" s="8"/>
    </row>
    <row r="371" spans="11:17">
      <c r="K371" s="8"/>
      <c r="M371" s="8"/>
      <c r="Q371" s="8"/>
    </row>
    <row r="372" spans="11:17">
      <c r="K372" s="8"/>
      <c r="M372" s="8"/>
      <c r="Q372" s="8"/>
    </row>
    <row r="373" spans="11:17">
      <c r="K373" s="8"/>
      <c r="M373" s="8"/>
      <c r="Q373" s="8"/>
    </row>
    <row r="374" spans="11:17">
      <c r="K374" s="8"/>
      <c r="M374" s="8"/>
      <c r="Q374" s="8"/>
    </row>
    <row r="375" spans="11:17">
      <c r="K375" s="8"/>
      <c r="M375" s="8"/>
      <c r="Q375" s="8"/>
    </row>
    <row r="376" spans="11:17">
      <c r="K376" s="8"/>
      <c r="M376" s="8"/>
      <c r="Q376" s="8"/>
    </row>
    <row r="377" spans="11:17">
      <c r="K377" s="8"/>
      <c r="M377" s="8"/>
      <c r="Q377" s="8"/>
    </row>
    <row r="378" spans="11:17">
      <c r="K378" s="8"/>
      <c r="M378" s="8"/>
      <c r="Q378" s="8"/>
    </row>
    <row r="379" spans="11:17">
      <c r="K379" s="8"/>
      <c r="M379" s="8"/>
      <c r="Q379" s="8"/>
    </row>
    <row r="380" spans="11:17">
      <c r="K380" s="8"/>
      <c r="M380" s="8"/>
      <c r="Q380" s="8"/>
    </row>
    <row r="381" spans="11:17">
      <c r="K381" s="8"/>
      <c r="M381" s="8"/>
      <c r="Q381" s="8"/>
    </row>
    <row r="382" spans="11:17">
      <c r="K382" s="8"/>
      <c r="M382" s="8"/>
      <c r="Q382" s="8"/>
    </row>
    <row r="383" spans="11:17">
      <c r="K383" s="8"/>
      <c r="M383" s="8"/>
      <c r="Q383" s="8"/>
    </row>
    <row r="384" spans="11:17">
      <c r="K384" s="8"/>
      <c r="M384" s="8"/>
      <c r="Q384" s="8"/>
    </row>
    <row r="385" spans="11:17">
      <c r="K385" s="8"/>
      <c r="M385" s="8"/>
      <c r="Q385" s="8"/>
    </row>
    <row r="386" spans="11:17">
      <c r="K386" s="8"/>
      <c r="M386" s="8"/>
      <c r="Q386" s="8"/>
    </row>
    <row r="387" spans="11:17">
      <c r="K387" s="8"/>
      <c r="M387" s="8"/>
      <c r="Q387" s="8"/>
    </row>
    <row r="388" spans="11:17">
      <c r="K388" s="8"/>
      <c r="M388" s="8"/>
      <c r="Q388" s="8"/>
    </row>
    <row r="389" spans="11:17">
      <c r="K389" s="8"/>
      <c r="M389" s="8"/>
      <c r="Q389" s="8"/>
    </row>
    <row r="390" spans="11:17">
      <c r="K390" s="8"/>
      <c r="M390" s="8"/>
      <c r="Q390" s="8"/>
    </row>
    <row r="391" spans="11:17">
      <c r="K391" s="8"/>
      <c r="M391" s="8"/>
      <c r="Q391" s="8"/>
    </row>
    <row r="392" spans="11:17">
      <c r="K392" s="8"/>
      <c r="M392" s="8"/>
      <c r="Q392" s="8"/>
    </row>
    <row r="393" spans="11:17">
      <c r="K393" s="8"/>
      <c r="M393" s="8"/>
      <c r="Q393" s="8"/>
    </row>
    <row r="394" spans="11:17">
      <c r="K394" s="8"/>
      <c r="M394" s="8"/>
      <c r="Q394" s="8"/>
    </row>
    <row r="395" spans="11:17">
      <c r="K395" s="8"/>
      <c r="M395" s="8"/>
      <c r="Q395" s="8"/>
    </row>
    <row r="396" spans="11:17">
      <c r="K396" s="8"/>
      <c r="M396" s="8"/>
      <c r="Q396" s="8"/>
    </row>
    <row r="397" spans="11:17">
      <c r="K397" s="8"/>
      <c r="M397" s="8"/>
      <c r="Q397" s="8"/>
    </row>
    <row r="398" spans="11:17">
      <c r="K398" s="8"/>
      <c r="M398" s="8"/>
      <c r="Q398" s="8"/>
    </row>
    <row r="399" spans="11:17">
      <c r="K399" s="8"/>
      <c r="M399" s="8"/>
      <c r="Q399" s="8"/>
    </row>
    <row r="400" spans="11:17">
      <c r="K400" s="8"/>
      <c r="M400" s="8"/>
      <c r="Q400" s="8"/>
    </row>
    <row r="401" spans="11:17">
      <c r="K401" s="8"/>
      <c r="M401" s="8"/>
      <c r="Q401" s="8"/>
    </row>
    <row r="402" spans="11:17">
      <c r="K402" s="8"/>
      <c r="M402" s="8"/>
      <c r="Q402" s="8"/>
    </row>
    <row r="403" spans="11:17">
      <c r="K403" s="8"/>
      <c r="M403" s="8"/>
      <c r="Q403" s="8"/>
    </row>
    <row r="404" spans="11:17">
      <c r="K404" s="8"/>
      <c r="M404" s="8"/>
      <c r="Q404" s="8"/>
    </row>
    <row r="405" spans="11:17">
      <c r="K405" s="8"/>
      <c r="M405" s="8"/>
      <c r="Q405" s="8"/>
    </row>
    <row r="406" spans="11:17">
      <c r="K406" s="8"/>
      <c r="M406" s="8"/>
      <c r="Q406" s="8"/>
    </row>
    <row r="407" spans="11:17">
      <c r="K407" s="8"/>
      <c r="M407" s="8"/>
      <c r="Q407" s="8"/>
    </row>
    <row r="408" spans="11:17">
      <c r="K408" s="8"/>
      <c r="M408" s="8"/>
      <c r="Q408" s="8"/>
    </row>
    <row r="409" spans="11:17">
      <c r="K409" s="8"/>
      <c r="M409" s="8"/>
      <c r="Q409" s="8"/>
    </row>
    <row r="410" spans="11:17">
      <c r="K410" s="8"/>
      <c r="M410" s="8"/>
      <c r="Q410" s="8"/>
    </row>
    <row r="411" spans="11:17">
      <c r="K411" s="8"/>
      <c r="M411" s="8"/>
      <c r="Q411" s="8"/>
    </row>
    <row r="412" spans="11:17">
      <c r="K412" s="8"/>
      <c r="M412" s="8"/>
      <c r="Q412" s="8"/>
    </row>
    <row r="413" spans="11:17">
      <c r="K413" s="8"/>
      <c r="M413" s="8"/>
      <c r="Q413" s="8"/>
    </row>
    <row r="414" spans="11:17">
      <c r="K414" s="8"/>
      <c r="M414" s="8"/>
      <c r="Q414" s="8"/>
    </row>
    <row r="415" spans="11:17">
      <c r="K415" s="8"/>
      <c r="M415" s="8"/>
      <c r="Q415" s="8"/>
    </row>
    <row r="416" spans="11:17">
      <c r="K416" s="8"/>
      <c r="M416" s="8"/>
      <c r="Q416" s="8"/>
    </row>
    <row r="417" spans="11:17">
      <c r="K417" s="8"/>
      <c r="M417" s="8"/>
      <c r="Q417" s="8"/>
    </row>
    <row r="418" spans="11:17">
      <c r="K418" s="8"/>
      <c r="M418" s="8"/>
      <c r="Q418" s="8"/>
    </row>
    <row r="419" spans="11:17">
      <c r="K419" s="8"/>
      <c r="M419" s="8"/>
      <c r="Q419" s="8"/>
    </row>
    <row r="420" spans="11:17">
      <c r="K420" s="8"/>
      <c r="M420" s="8"/>
      <c r="Q420" s="8"/>
    </row>
    <row r="421" spans="11:17">
      <c r="K421" s="8"/>
      <c r="M421" s="8"/>
      <c r="Q421" s="8"/>
    </row>
    <row r="422" spans="11:17">
      <c r="K422" s="8"/>
      <c r="M422" s="8"/>
      <c r="Q422" s="8"/>
    </row>
    <row r="423" spans="11:17">
      <c r="K423" s="8"/>
      <c r="M423" s="8"/>
      <c r="Q423" s="8"/>
    </row>
    <row r="424" spans="11:17">
      <c r="K424" s="8"/>
      <c r="M424" s="8"/>
      <c r="Q424" s="8"/>
    </row>
    <row r="425" spans="11:17">
      <c r="K425" s="8"/>
      <c r="M425" s="8"/>
      <c r="Q425" s="8"/>
    </row>
    <row r="426" spans="11:17">
      <c r="K426" s="8"/>
      <c r="M426" s="8"/>
      <c r="Q426" s="8"/>
    </row>
    <row r="427" spans="11:17">
      <c r="K427" s="8"/>
      <c r="M427" s="8"/>
      <c r="Q427" s="8"/>
    </row>
    <row r="428" spans="11:17">
      <c r="K428" s="8"/>
      <c r="M428" s="8"/>
      <c r="Q428" s="8"/>
    </row>
    <row r="429" spans="11:17">
      <c r="K429" s="8"/>
      <c r="M429" s="8"/>
      <c r="Q429" s="8"/>
    </row>
    <row r="430" spans="11:17">
      <c r="K430" s="8"/>
      <c r="M430" s="8"/>
      <c r="Q430" s="8"/>
    </row>
    <row r="431" spans="11:17">
      <c r="K431" s="8"/>
      <c r="M431" s="8"/>
      <c r="Q431" s="8"/>
    </row>
    <row r="432" spans="11:17">
      <c r="K432" s="8"/>
      <c r="M432" s="8"/>
      <c r="Q432" s="8"/>
    </row>
    <row r="433" spans="11:17">
      <c r="K433" s="8"/>
      <c r="M433" s="8"/>
      <c r="Q433" s="8"/>
    </row>
    <row r="434" spans="11:17">
      <c r="K434" s="8"/>
      <c r="M434" s="8"/>
      <c r="Q434" s="8"/>
    </row>
    <row r="435" spans="11:17">
      <c r="K435" s="8"/>
      <c r="M435" s="8"/>
      <c r="Q435" s="8"/>
    </row>
    <row r="436" spans="11:17">
      <c r="K436" s="8"/>
      <c r="M436" s="8"/>
      <c r="Q436" s="8"/>
    </row>
    <row r="437" spans="11:17">
      <c r="K437" s="8"/>
      <c r="M437" s="8"/>
      <c r="Q437" s="8"/>
    </row>
    <row r="438" spans="11:17">
      <c r="K438" s="8"/>
      <c r="M438" s="8"/>
      <c r="Q438" s="8"/>
    </row>
    <row r="439" spans="11:17">
      <c r="K439" s="8"/>
      <c r="M439" s="8"/>
      <c r="Q439" s="8"/>
    </row>
    <row r="440" spans="11:17">
      <c r="K440" s="8"/>
      <c r="M440" s="8"/>
      <c r="Q440" s="8"/>
    </row>
    <row r="441" spans="11:17">
      <c r="K441" s="8"/>
      <c r="M441" s="8"/>
      <c r="Q441" s="8"/>
    </row>
    <row r="442" spans="11:17">
      <c r="K442" s="8"/>
      <c r="M442" s="8"/>
      <c r="Q442" s="8"/>
    </row>
    <row r="443" spans="11:17">
      <c r="K443" s="8"/>
      <c r="M443" s="8"/>
      <c r="Q443" s="8"/>
    </row>
    <row r="444" spans="11:17">
      <c r="K444" s="8"/>
      <c r="M444" s="8"/>
      <c r="Q444" s="8"/>
    </row>
    <row r="445" spans="11:17">
      <c r="K445" s="8"/>
      <c r="M445" s="8"/>
      <c r="Q445" s="8"/>
    </row>
    <row r="446" spans="11:17">
      <c r="K446" s="8"/>
      <c r="M446" s="8"/>
      <c r="Q446" s="8"/>
    </row>
    <row r="447" spans="11:17">
      <c r="K447" s="8"/>
      <c r="M447" s="8"/>
      <c r="Q447" s="8"/>
    </row>
    <row r="448" spans="11:17">
      <c r="K448" s="8"/>
      <c r="M448" s="8"/>
      <c r="Q448" s="8"/>
    </row>
    <row r="449" spans="11:17">
      <c r="K449" s="8"/>
      <c r="M449" s="8"/>
      <c r="Q449" s="8"/>
    </row>
    <row r="450" spans="11:17">
      <c r="K450" s="8"/>
      <c r="M450" s="8"/>
      <c r="Q450" s="8"/>
    </row>
    <row r="451" spans="11:17">
      <c r="K451" s="8"/>
      <c r="M451" s="8"/>
      <c r="Q451" s="8"/>
    </row>
    <row r="452" spans="11:17">
      <c r="K452" s="8"/>
      <c r="M452" s="8"/>
      <c r="Q452" s="8"/>
    </row>
    <row r="453" spans="11:17">
      <c r="K453" s="8"/>
      <c r="M453" s="8"/>
      <c r="Q453" s="8"/>
    </row>
    <row r="454" spans="11:17">
      <c r="K454" s="8"/>
      <c r="M454" s="8"/>
      <c r="Q454" s="8"/>
    </row>
    <row r="455" spans="11:17">
      <c r="K455" s="8"/>
      <c r="M455" s="8"/>
      <c r="Q455" s="8"/>
    </row>
    <row r="456" spans="11:17">
      <c r="K456" s="8"/>
      <c r="M456" s="8"/>
      <c r="Q456" s="8"/>
    </row>
    <row r="457" spans="11:17">
      <c r="K457" s="8"/>
      <c r="M457" s="8"/>
      <c r="Q457" s="8"/>
    </row>
    <row r="458" spans="11:17">
      <c r="K458" s="8"/>
      <c r="M458" s="8"/>
      <c r="Q458" s="8"/>
    </row>
    <row r="459" spans="11:17">
      <c r="K459" s="8"/>
      <c r="M459" s="8"/>
      <c r="Q459" s="8"/>
    </row>
    <row r="460" spans="11:17">
      <c r="K460" s="8"/>
      <c r="M460" s="8"/>
      <c r="Q460" s="8"/>
    </row>
    <row r="461" spans="11:17">
      <c r="K461" s="8"/>
      <c r="M461" s="8"/>
      <c r="Q461" s="8"/>
    </row>
    <row r="462" spans="11:17">
      <c r="K462" s="8"/>
      <c r="M462" s="8"/>
      <c r="Q462" s="8"/>
    </row>
    <row r="463" spans="11:17">
      <c r="K463" s="8"/>
      <c r="M463" s="8"/>
      <c r="Q463" s="8"/>
    </row>
    <row r="464" spans="11:17">
      <c r="K464" s="8"/>
      <c r="M464" s="8"/>
      <c r="Q464" s="8"/>
    </row>
    <row r="465" spans="11:17">
      <c r="K465" s="8"/>
      <c r="M465" s="8"/>
      <c r="Q465" s="8"/>
    </row>
    <row r="466" spans="11:17">
      <c r="K466" s="8"/>
      <c r="M466" s="8"/>
      <c r="Q466" s="8"/>
    </row>
    <row r="467" spans="11:17">
      <c r="K467" s="8"/>
      <c r="M467" s="8"/>
      <c r="Q467" s="8"/>
    </row>
    <row r="468" spans="11:17">
      <c r="K468" s="8"/>
      <c r="M468" s="8"/>
      <c r="Q468" s="8"/>
    </row>
    <row r="469" spans="11:17">
      <c r="K469" s="8"/>
      <c r="M469" s="8"/>
      <c r="Q469" s="8"/>
    </row>
    <row r="470" spans="11:17">
      <c r="K470" s="8"/>
      <c r="M470" s="8"/>
      <c r="Q470" s="8"/>
    </row>
    <row r="471" spans="11:17">
      <c r="K471" s="8"/>
      <c r="M471" s="8"/>
      <c r="Q471" s="8"/>
    </row>
    <row r="472" spans="11:17">
      <c r="K472" s="8"/>
      <c r="M472" s="8"/>
      <c r="Q472" s="8"/>
    </row>
    <row r="473" spans="11:17">
      <c r="K473" s="8"/>
      <c r="M473" s="8"/>
      <c r="Q473" s="8"/>
    </row>
    <row r="474" spans="11:17">
      <c r="K474" s="8"/>
      <c r="M474" s="8"/>
      <c r="Q474" s="8"/>
    </row>
    <row r="475" spans="11:17">
      <c r="K475" s="8"/>
      <c r="M475" s="8"/>
      <c r="Q475" s="8"/>
    </row>
    <row r="476" spans="11:17">
      <c r="K476" s="8"/>
      <c r="M476" s="8"/>
      <c r="Q476" s="8"/>
    </row>
    <row r="477" spans="11:17">
      <c r="K477" s="8"/>
      <c r="M477" s="8"/>
      <c r="Q477" s="8"/>
    </row>
    <row r="478" spans="11:17">
      <c r="K478" s="8"/>
      <c r="M478" s="8"/>
      <c r="Q478" s="8"/>
    </row>
    <row r="479" spans="11:17">
      <c r="K479" s="8"/>
      <c r="M479" s="8"/>
      <c r="Q479" s="8"/>
    </row>
    <row r="480" spans="11:17">
      <c r="K480" s="8"/>
      <c r="M480" s="8"/>
      <c r="Q480" s="8"/>
    </row>
    <row r="481" spans="11:17">
      <c r="K481" s="8"/>
      <c r="M481" s="8"/>
      <c r="Q481" s="8"/>
    </row>
    <row r="482" spans="11:17">
      <c r="K482" s="8"/>
      <c r="M482" s="8"/>
      <c r="Q482" s="8"/>
    </row>
    <row r="483" spans="11:17">
      <c r="K483" s="8"/>
      <c r="M483" s="8"/>
      <c r="Q483" s="8"/>
    </row>
    <row r="484" spans="11:17">
      <c r="K484" s="8"/>
      <c r="M484" s="8"/>
      <c r="Q484" s="8"/>
    </row>
    <row r="485" spans="11:17">
      <c r="K485" s="8"/>
      <c r="M485" s="8"/>
      <c r="Q485" s="8"/>
    </row>
    <row r="486" spans="11:17">
      <c r="K486" s="8"/>
      <c r="M486" s="8"/>
      <c r="Q486" s="8"/>
    </row>
    <row r="487" spans="11:17">
      <c r="K487" s="8"/>
      <c r="M487" s="8"/>
      <c r="Q487" s="8"/>
    </row>
    <row r="488" spans="11:17">
      <c r="K488" s="8"/>
      <c r="M488" s="8"/>
      <c r="Q488" s="8"/>
    </row>
    <row r="489" spans="11:17">
      <c r="K489" s="8"/>
      <c r="M489" s="8"/>
      <c r="Q489" s="8"/>
    </row>
    <row r="490" spans="11:17">
      <c r="K490" s="8"/>
      <c r="M490" s="8"/>
      <c r="Q490" s="8"/>
    </row>
    <row r="491" spans="11:17">
      <c r="K491" s="8"/>
      <c r="M491" s="8"/>
      <c r="Q491" s="8"/>
    </row>
    <row r="492" spans="11:17">
      <c r="K492" s="8"/>
      <c r="M492" s="8"/>
      <c r="Q492" s="8"/>
    </row>
    <row r="493" spans="11:17">
      <c r="K493" s="8"/>
      <c r="M493" s="8"/>
      <c r="Q493" s="8"/>
    </row>
    <row r="494" spans="11:17">
      <c r="K494" s="8"/>
      <c r="M494" s="8"/>
      <c r="Q494" s="8"/>
    </row>
    <row r="495" spans="11:17">
      <c r="K495" s="8"/>
      <c r="M495" s="8"/>
      <c r="Q495" s="8"/>
    </row>
    <row r="496" spans="11:17">
      <c r="K496" s="8"/>
      <c r="M496" s="8"/>
      <c r="Q496" s="8"/>
    </row>
    <row r="497" spans="11:17">
      <c r="K497" s="8"/>
      <c r="M497" s="8"/>
      <c r="Q497" s="8"/>
    </row>
    <row r="498" spans="11:17">
      <c r="K498" s="8"/>
      <c r="M498" s="8"/>
      <c r="Q498" s="8"/>
    </row>
    <row r="499" spans="11:17">
      <c r="K499" s="8"/>
      <c r="M499" s="8"/>
      <c r="Q499" s="8"/>
    </row>
    <row r="500" spans="11:17">
      <c r="K500" s="8"/>
      <c r="M500" s="8"/>
      <c r="Q500" s="8"/>
    </row>
    <row r="501" spans="11:17">
      <c r="K501" s="8"/>
      <c r="M501" s="8"/>
      <c r="Q501" s="8"/>
    </row>
    <row r="502" spans="11:17">
      <c r="K502" s="8"/>
      <c r="M502" s="8"/>
      <c r="Q502" s="8"/>
    </row>
    <row r="503" spans="11:17">
      <c r="K503" s="8"/>
      <c r="M503" s="8"/>
      <c r="Q503" s="8"/>
    </row>
    <row r="504" spans="11:17">
      <c r="K504" s="8"/>
      <c r="M504" s="8"/>
      <c r="Q504" s="8"/>
    </row>
    <row r="505" spans="11:17">
      <c r="K505" s="8"/>
      <c r="M505" s="8"/>
      <c r="Q505" s="8"/>
    </row>
    <row r="506" spans="11:17">
      <c r="K506" s="8"/>
      <c r="M506" s="8"/>
      <c r="Q506" s="8"/>
    </row>
    <row r="507" spans="11:17">
      <c r="K507" s="8"/>
      <c r="M507" s="8"/>
      <c r="Q507" s="8"/>
    </row>
    <row r="508" spans="11:17">
      <c r="K508" s="8"/>
      <c r="M508" s="8"/>
      <c r="Q508" s="8"/>
    </row>
    <row r="509" spans="11:17">
      <c r="K509" s="8"/>
      <c r="M509" s="8"/>
      <c r="Q509" s="8"/>
    </row>
    <row r="510" spans="11:17">
      <c r="K510" s="8"/>
      <c r="M510" s="8"/>
      <c r="Q510" s="8"/>
    </row>
    <row r="511" spans="11:17">
      <c r="K511" s="8"/>
      <c r="M511" s="8"/>
      <c r="Q511" s="8"/>
    </row>
    <row r="512" spans="11:17">
      <c r="K512" s="8"/>
      <c r="M512" s="8"/>
      <c r="Q512" s="8"/>
    </row>
    <row r="513" spans="11:17">
      <c r="K513" s="8"/>
      <c r="M513" s="8"/>
      <c r="Q513" s="8"/>
    </row>
    <row r="514" spans="11:17">
      <c r="K514" s="8"/>
      <c r="M514" s="8"/>
      <c r="Q514" s="8"/>
    </row>
    <row r="515" spans="11:17">
      <c r="K515" s="8"/>
      <c r="M515" s="8"/>
      <c r="Q515" s="8"/>
    </row>
    <row r="516" spans="11:17">
      <c r="K516" s="8"/>
      <c r="M516" s="8"/>
      <c r="Q516" s="8"/>
    </row>
    <row r="517" spans="11:17">
      <c r="K517" s="8"/>
      <c r="M517" s="8"/>
      <c r="Q517" s="8"/>
    </row>
    <row r="518" spans="11:17">
      <c r="K518" s="8"/>
      <c r="M518" s="8"/>
      <c r="Q518" s="8"/>
    </row>
    <row r="519" spans="11:17">
      <c r="K519" s="8"/>
      <c r="M519" s="8"/>
      <c r="Q519" s="8"/>
    </row>
    <row r="520" spans="11:17">
      <c r="K520" s="8"/>
      <c r="M520" s="8"/>
      <c r="Q520" s="8"/>
    </row>
    <row r="521" spans="11:17">
      <c r="K521" s="8"/>
      <c r="M521" s="8"/>
      <c r="Q521" s="8"/>
    </row>
    <row r="522" spans="11:17">
      <c r="K522" s="8"/>
      <c r="M522" s="8"/>
      <c r="Q522" s="8"/>
    </row>
    <row r="523" spans="11:17">
      <c r="K523" s="8"/>
      <c r="M523" s="8"/>
      <c r="Q523" s="8"/>
    </row>
    <row r="524" spans="11:17">
      <c r="K524" s="8"/>
      <c r="M524" s="8"/>
      <c r="Q524" s="8"/>
    </row>
    <row r="525" spans="11:17">
      <c r="K525" s="8"/>
      <c r="M525" s="8"/>
      <c r="Q525" s="8"/>
    </row>
    <row r="526" spans="11:17">
      <c r="K526" s="8"/>
      <c r="M526" s="8"/>
      <c r="Q526" s="8"/>
    </row>
    <row r="527" spans="11:17">
      <c r="K527" s="8"/>
      <c r="M527" s="8"/>
      <c r="Q527" s="8"/>
    </row>
    <row r="528" spans="11:17">
      <c r="K528" s="8"/>
      <c r="M528" s="8"/>
      <c r="Q528" s="8"/>
    </row>
    <row r="529" spans="11:17">
      <c r="K529" s="8"/>
      <c r="M529" s="8"/>
      <c r="Q529" s="8"/>
    </row>
    <row r="530" spans="11:17">
      <c r="K530" s="8"/>
      <c r="M530" s="8"/>
      <c r="Q530" s="8"/>
    </row>
    <row r="531" spans="11:17">
      <c r="K531" s="8"/>
      <c r="M531" s="8"/>
      <c r="Q531" s="8"/>
    </row>
    <row r="532" spans="11:17">
      <c r="K532" s="8"/>
      <c r="M532" s="8"/>
      <c r="Q532" s="8"/>
    </row>
    <row r="533" spans="11:17">
      <c r="K533" s="8"/>
      <c r="M533" s="8"/>
      <c r="Q533" s="8"/>
    </row>
    <row r="534" spans="11:17">
      <c r="K534" s="8"/>
      <c r="M534" s="8"/>
      <c r="Q534" s="8"/>
    </row>
    <row r="535" spans="11:17">
      <c r="K535" s="8"/>
      <c r="M535" s="8"/>
      <c r="Q535" s="8"/>
    </row>
    <row r="536" spans="11:17">
      <c r="K536" s="8"/>
      <c r="M536" s="8"/>
      <c r="Q536" s="8"/>
    </row>
    <row r="537" spans="11:17">
      <c r="K537" s="8"/>
      <c r="M537" s="8"/>
      <c r="Q537" s="8"/>
    </row>
    <row r="538" spans="11:17">
      <c r="K538" s="8"/>
      <c r="M538" s="8"/>
      <c r="Q538" s="8"/>
    </row>
    <row r="539" spans="11:17">
      <c r="K539" s="8"/>
      <c r="M539" s="8"/>
      <c r="Q539" s="8"/>
    </row>
    <row r="540" spans="11:17">
      <c r="K540" s="8"/>
      <c r="M540" s="8"/>
      <c r="Q540" s="8"/>
    </row>
    <row r="541" spans="11:17">
      <c r="K541" s="8"/>
      <c r="M541" s="8"/>
      <c r="Q541" s="8"/>
    </row>
    <row r="542" spans="11:17">
      <c r="K542" s="8"/>
      <c r="M542" s="8"/>
      <c r="Q542" s="8"/>
    </row>
    <row r="543" spans="11:17">
      <c r="K543" s="8"/>
      <c r="M543" s="8"/>
      <c r="Q543" s="8"/>
    </row>
    <row r="544" spans="11:17">
      <c r="K544" s="8"/>
      <c r="M544" s="8"/>
      <c r="Q544" s="8"/>
    </row>
    <row r="545" spans="11:17">
      <c r="K545" s="8"/>
      <c r="M545" s="8"/>
      <c r="Q545" s="8"/>
    </row>
    <row r="546" spans="11:17">
      <c r="K546" s="8"/>
      <c r="M546" s="8"/>
      <c r="Q546" s="8"/>
    </row>
    <row r="547" spans="11:17">
      <c r="K547" s="8"/>
      <c r="M547" s="8"/>
      <c r="Q547" s="8"/>
    </row>
    <row r="548" spans="11:17">
      <c r="K548" s="8"/>
      <c r="M548" s="8"/>
      <c r="Q548" s="8"/>
    </row>
    <row r="549" spans="11:17">
      <c r="K549" s="8"/>
      <c r="M549" s="8"/>
      <c r="Q549" s="8"/>
    </row>
    <row r="550" spans="11:17">
      <c r="K550" s="8"/>
      <c r="M550" s="8"/>
      <c r="Q550" s="8"/>
    </row>
    <row r="551" spans="11:17">
      <c r="K551" s="8"/>
      <c r="M551" s="8"/>
      <c r="Q551" s="8"/>
    </row>
    <row r="552" spans="11:17">
      <c r="K552" s="8"/>
      <c r="M552" s="8"/>
      <c r="Q552" s="8"/>
    </row>
    <row r="553" spans="11:17">
      <c r="K553" s="8"/>
      <c r="M553" s="8"/>
      <c r="Q553" s="8"/>
    </row>
    <row r="554" spans="11:17">
      <c r="K554" s="8"/>
      <c r="M554" s="8"/>
      <c r="Q554" s="8"/>
    </row>
    <row r="555" spans="11:17">
      <c r="K555" s="8"/>
      <c r="M555" s="8"/>
      <c r="Q555" s="8"/>
    </row>
    <row r="556" spans="11:17">
      <c r="K556" s="8"/>
      <c r="M556" s="8"/>
      <c r="Q556" s="8"/>
    </row>
    <row r="557" spans="11:17">
      <c r="K557" s="8"/>
      <c r="M557" s="8"/>
      <c r="Q557" s="8"/>
    </row>
    <row r="558" spans="11:17">
      <c r="K558" s="8"/>
      <c r="M558" s="8"/>
      <c r="Q558" s="8"/>
    </row>
    <row r="559" spans="11:17">
      <c r="K559" s="8"/>
      <c r="M559" s="8"/>
      <c r="Q559" s="8"/>
    </row>
    <row r="560" spans="11:17">
      <c r="K560" s="8"/>
      <c r="M560" s="8"/>
      <c r="Q560" s="8"/>
    </row>
    <row r="561" spans="11:17">
      <c r="K561" s="8"/>
      <c r="M561" s="8"/>
      <c r="Q561" s="8"/>
    </row>
    <row r="562" spans="11:17">
      <c r="K562" s="8"/>
      <c r="M562" s="8"/>
      <c r="Q562" s="8"/>
    </row>
    <row r="563" spans="11:17">
      <c r="K563" s="8"/>
      <c r="M563" s="8"/>
      <c r="Q563" s="8"/>
    </row>
    <row r="564" spans="11:17">
      <c r="K564" s="8"/>
      <c r="M564" s="8"/>
      <c r="Q564" s="8"/>
    </row>
    <row r="565" spans="11:17">
      <c r="K565" s="8"/>
      <c r="M565" s="8"/>
      <c r="Q565" s="8"/>
    </row>
    <row r="566" spans="11:17">
      <c r="K566" s="8"/>
      <c r="M566" s="8"/>
      <c r="Q566" s="8"/>
    </row>
    <row r="567" spans="11:17">
      <c r="K567" s="8"/>
      <c r="M567" s="8"/>
      <c r="Q567" s="8"/>
    </row>
    <row r="568" spans="11:17">
      <c r="K568" s="8"/>
      <c r="M568" s="8"/>
      <c r="Q568" s="8"/>
    </row>
    <row r="569" spans="11:17">
      <c r="K569" s="8"/>
      <c r="M569" s="8"/>
      <c r="Q569" s="8"/>
    </row>
    <row r="570" spans="11:17">
      <c r="K570" s="8"/>
      <c r="M570" s="8"/>
      <c r="Q570" s="8"/>
    </row>
    <row r="571" spans="11:17">
      <c r="K571" s="8"/>
      <c r="M571" s="8"/>
      <c r="Q571" s="8"/>
    </row>
    <row r="572" spans="11:17">
      <c r="K572" s="8"/>
      <c r="M572" s="8"/>
      <c r="Q572" s="8"/>
    </row>
    <row r="573" spans="11:17">
      <c r="K573" s="8"/>
      <c r="M573" s="8"/>
      <c r="Q573" s="8"/>
    </row>
    <row r="574" spans="11:17">
      <c r="K574" s="8"/>
      <c r="M574" s="8"/>
      <c r="Q574" s="8"/>
    </row>
    <row r="575" spans="11:17">
      <c r="K575" s="8"/>
      <c r="M575" s="8"/>
      <c r="Q575" s="8"/>
    </row>
    <row r="576" spans="11:17">
      <c r="K576" s="8"/>
      <c r="M576" s="8"/>
      <c r="Q576" s="8"/>
    </row>
    <row r="577" spans="11:17">
      <c r="K577" s="8"/>
      <c r="M577" s="8"/>
      <c r="Q577" s="8"/>
    </row>
    <row r="578" spans="11:17">
      <c r="K578" s="8"/>
      <c r="M578" s="8"/>
      <c r="Q578" s="8"/>
    </row>
    <row r="579" spans="11:17">
      <c r="K579" s="8"/>
      <c r="M579" s="8"/>
      <c r="Q579" s="8"/>
    </row>
    <row r="580" spans="11:17">
      <c r="K580" s="8"/>
      <c r="M580" s="8"/>
      <c r="Q580" s="8"/>
    </row>
    <row r="581" spans="11:17">
      <c r="K581" s="8"/>
      <c r="M581" s="8"/>
      <c r="Q581" s="8"/>
    </row>
    <row r="582" spans="11:17">
      <c r="K582" s="8"/>
      <c r="M582" s="8"/>
      <c r="Q582" s="8"/>
    </row>
    <row r="583" spans="11:17">
      <c r="K583" s="8"/>
      <c r="M583" s="8"/>
      <c r="Q583" s="8"/>
    </row>
    <row r="584" spans="11:17">
      <c r="K584" s="8"/>
      <c r="M584" s="8"/>
      <c r="Q584" s="8"/>
    </row>
    <row r="585" spans="11:17">
      <c r="K585" s="8"/>
      <c r="M585" s="8"/>
      <c r="Q585" s="8"/>
    </row>
    <row r="586" spans="11:17">
      <c r="K586" s="8"/>
      <c r="M586" s="8"/>
      <c r="Q586" s="8"/>
    </row>
    <row r="587" spans="11:17">
      <c r="K587" s="8"/>
      <c r="M587" s="8"/>
      <c r="Q587" s="8"/>
    </row>
    <row r="588" spans="11:17">
      <c r="K588" s="8"/>
      <c r="M588" s="8"/>
      <c r="Q588" s="8"/>
    </row>
    <row r="589" spans="11:17">
      <c r="K589" s="8"/>
      <c r="M589" s="8"/>
      <c r="Q589" s="8"/>
    </row>
    <row r="590" spans="11:17">
      <c r="K590" s="8"/>
      <c r="M590" s="8"/>
      <c r="Q590" s="8"/>
    </row>
    <row r="591" spans="11:17">
      <c r="K591" s="8"/>
      <c r="M591" s="8"/>
      <c r="Q591" s="8"/>
    </row>
    <row r="592" spans="11:17">
      <c r="K592" s="8"/>
      <c r="M592" s="8"/>
      <c r="Q592" s="8"/>
    </row>
    <row r="593" spans="11:17">
      <c r="K593" s="8"/>
      <c r="M593" s="8"/>
      <c r="Q593" s="8"/>
    </row>
    <row r="594" spans="11:17">
      <c r="K594" s="8"/>
      <c r="M594" s="8"/>
      <c r="Q594" s="8"/>
    </row>
    <row r="595" spans="11:17">
      <c r="K595" s="8"/>
      <c r="M595" s="8"/>
      <c r="Q595" s="8"/>
    </row>
    <row r="596" spans="11:17">
      <c r="K596" s="8"/>
      <c r="M596" s="8"/>
      <c r="Q596" s="8"/>
    </row>
    <row r="597" spans="11:17">
      <c r="K597" s="8"/>
      <c r="M597" s="8"/>
      <c r="Q597" s="8"/>
    </row>
    <row r="598" spans="11:17">
      <c r="K598" s="8"/>
      <c r="M598" s="8"/>
      <c r="Q598" s="8"/>
    </row>
    <row r="599" spans="11:17">
      <c r="K599" s="8"/>
      <c r="M599" s="8"/>
      <c r="Q599" s="8"/>
    </row>
    <row r="600" spans="11:17">
      <c r="K600" s="8"/>
      <c r="M600" s="8"/>
      <c r="Q600" s="8"/>
    </row>
    <row r="601" spans="11:17">
      <c r="K601" s="8"/>
      <c r="M601" s="8"/>
      <c r="Q601" s="8"/>
    </row>
    <row r="602" spans="11:17">
      <c r="K602" s="8"/>
      <c r="M602" s="8"/>
      <c r="Q602" s="8"/>
    </row>
    <row r="603" spans="11:17">
      <c r="K603" s="8"/>
      <c r="M603" s="8"/>
      <c r="Q603" s="8"/>
    </row>
    <row r="604" spans="11:17">
      <c r="K604" s="8"/>
      <c r="M604" s="8"/>
      <c r="Q604" s="8"/>
    </row>
    <row r="605" spans="11:17">
      <c r="K605" s="8"/>
      <c r="M605" s="8"/>
      <c r="Q605" s="8"/>
    </row>
    <row r="606" spans="11:17">
      <c r="K606" s="8"/>
      <c r="M606" s="8"/>
      <c r="Q606" s="8"/>
    </row>
    <row r="607" spans="11:17">
      <c r="K607" s="8"/>
      <c r="M607" s="8"/>
      <c r="Q607" s="8"/>
    </row>
    <row r="608" spans="11:17">
      <c r="K608" s="8"/>
      <c r="M608" s="8"/>
      <c r="Q608" s="8"/>
    </row>
    <row r="609" spans="11:17">
      <c r="K609" s="8"/>
      <c r="M609" s="8"/>
      <c r="Q609" s="8"/>
    </row>
    <row r="610" spans="11:17">
      <c r="K610" s="8"/>
      <c r="M610" s="8"/>
      <c r="Q610" s="8"/>
    </row>
    <row r="611" spans="11:17">
      <c r="K611" s="8"/>
      <c r="M611" s="8"/>
      <c r="Q611" s="8"/>
    </row>
    <row r="612" spans="11:17">
      <c r="K612" s="8"/>
      <c r="M612" s="8"/>
      <c r="Q612" s="8"/>
    </row>
    <row r="613" spans="11:17">
      <c r="K613" s="8"/>
      <c r="M613" s="8"/>
      <c r="Q613" s="8"/>
    </row>
    <row r="614" spans="11:17">
      <c r="K614" s="8"/>
      <c r="M614" s="8"/>
      <c r="Q614" s="8"/>
    </row>
    <row r="615" spans="11:17">
      <c r="K615" s="8"/>
      <c r="M615" s="8"/>
      <c r="Q615" s="8"/>
    </row>
    <row r="616" spans="11:17">
      <c r="K616" s="8"/>
      <c r="M616" s="8"/>
      <c r="Q616" s="8"/>
    </row>
    <row r="617" spans="11:17">
      <c r="K617" s="8"/>
      <c r="M617" s="8"/>
      <c r="Q617" s="8"/>
    </row>
    <row r="618" spans="11:17">
      <c r="K618" s="8"/>
      <c r="M618" s="8"/>
      <c r="Q618" s="8"/>
    </row>
    <row r="619" spans="11:17">
      <c r="K619" s="8"/>
      <c r="M619" s="8"/>
      <c r="Q619" s="8"/>
    </row>
    <row r="620" spans="11:17">
      <c r="K620" s="8"/>
      <c r="M620" s="8"/>
      <c r="Q620" s="8"/>
    </row>
    <row r="621" spans="11:17">
      <c r="K621" s="8"/>
      <c r="M621" s="8"/>
      <c r="Q621" s="8"/>
    </row>
    <row r="622" spans="11:17">
      <c r="K622" s="8"/>
      <c r="M622" s="8"/>
      <c r="Q622" s="8"/>
    </row>
    <row r="623" spans="11:17">
      <c r="K623" s="8"/>
      <c r="M623" s="8"/>
      <c r="Q623" s="8"/>
    </row>
    <row r="624" spans="11:17">
      <c r="K624" s="8"/>
      <c r="M624" s="8"/>
      <c r="Q624" s="8"/>
    </row>
    <row r="625" spans="11:17">
      <c r="K625" s="8"/>
      <c r="M625" s="8"/>
      <c r="Q625" s="8"/>
    </row>
    <row r="626" spans="11:17">
      <c r="K626" s="8"/>
      <c r="M626" s="8"/>
      <c r="Q626" s="8"/>
    </row>
    <row r="627" spans="11:17">
      <c r="K627" s="8"/>
      <c r="M627" s="8"/>
      <c r="Q627" s="8"/>
    </row>
    <row r="628" spans="11:17">
      <c r="K628" s="8"/>
      <c r="M628" s="8"/>
      <c r="Q628" s="8"/>
    </row>
    <row r="629" spans="11:17">
      <c r="K629" s="8"/>
      <c r="M629" s="8"/>
      <c r="Q629" s="8"/>
    </row>
    <row r="630" spans="11:17">
      <c r="K630" s="8"/>
      <c r="M630" s="8"/>
      <c r="Q630" s="8"/>
    </row>
    <row r="631" spans="11:17">
      <c r="K631" s="8"/>
      <c r="M631" s="8"/>
      <c r="Q631" s="8"/>
    </row>
    <row r="632" spans="11:17">
      <c r="K632" s="8"/>
      <c r="M632" s="8"/>
      <c r="Q632" s="8"/>
    </row>
    <row r="633" spans="11:17">
      <c r="K633" s="8"/>
      <c r="M633" s="8"/>
      <c r="Q633" s="8"/>
    </row>
    <row r="634" spans="11:17">
      <c r="K634" s="8"/>
      <c r="M634" s="8"/>
      <c r="Q634" s="8"/>
    </row>
    <row r="635" spans="11:17">
      <c r="K635" s="8"/>
      <c r="M635" s="8"/>
      <c r="Q635" s="8"/>
    </row>
    <row r="636" spans="11:17">
      <c r="K636" s="8"/>
      <c r="M636" s="8"/>
      <c r="Q636" s="8"/>
    </row>
    <row r="637" spans="11:17">
      <c r="K637" s="8"/>
      <c r="M637" s="8"/>
      <c r="Q637" s="8"/>
    </row>
    <row r="638" spans="11:17">
      <c r="K638" s="8"/>
      <c r="M638" s="8"/>
      <c r="Q638" s="8"/>
    </row>
    <row r="639" spans="11:17">
      <c r="K639" s="8"/>
      <c r="M639" s="8"/>
      <c r="Q639" s="8"/>
    </row>
    <row r="640" spans="11:17">
      <c r="K640" s="8"/>
      <c r="M640" s="8"/>
      <c r="Q640" s="8"/>
    </row>
    <row r="641" spans="11:17">
      <c r="K641" s="8"/>
      <c r="M641" s="8"/>
      <c r="Q641" s="8"/>
    </row>
    <row r="642" spans="11:17">
      <c r="K642" s="8"/>
      <c r="M642" s="8"/>
      <c r="Q642" s="8"/>
    </row>
    <row r="643" spans="11:17">
      <c r="K643" s="8"/>
      <c r="M643" s="8"/>
      <c r="Q643" s="8"/>
    </row>
    <row r="644" spans="11:17">
      <c r="K644" s="8"/>
      <c r="M644" s="8"/>
      <c r="Q644" s="8"/>
    </row>
    <row r="645" spans="11:17">
      <c r="K645" s="8"/>
      <c r="M645" s="8"/>
      <c r="Q645" s="8"/>
    </row>
    <row r="646" spans="11:17">
      <c r="K646" s="8"/>
      <c r="M646" s="8"/>
      <c r="Q646" s="8"/>
    </row>
    <row r="647" spans="11:17">
      <c r="K647" s="8"/>
      <c r="M647" s="8"/>
      <c r="Q647" s="8"/>
    </row>
    <row r="648" spans="11:17">
      <c r="K648" s="8"/>
      <c r="M648" s="8"/>
      <c r="Q648" s="8"/>
    </row>
    <row r="649" spans="11:17">
      <c r="K649" s="8"/>
      <c r="M649" s="8"/>
      <c r="Q649" s="8"/>
    </row>
    <row r="650" spans="11:17">
      <c r="K650" s="8"/>
      <c r="M650" s="8"/>
      <c r="Q650" s="8"/>
    </row>
    <row r="651" spans="11:17">
      <c r="K651" s="8"/>
      <c r="M651" s="8"/>
      <c r="Q651" s="8"/>
    </row>
    <row r="652" spans="11:17">
      <c r="K652" s="8"/>
      <c r="M652" s="8"/>
      <c r="Q652" s="8"/>
    </row>
    <row r="653" spans="11:17">
      <c r="K653" s="8"/>
      <c r="M653" s="8"/>
      <c r="Q653" s="8"/>
    </row>
    <row r="654" spans="11:17">
      <c r="K654" s="8"/>
      <c r="M654" s="8"/>
      <c r="Q654" s="8"/>
    </row>
    <row r="655" spans="11:17">
      <c r="K655" s="8"/>
      <c r="M655" s="8"/>
      <c r="Q655" s="8"/>
    </row>
    <row r="656" spans="11:17">
      <c r="K656" s="8"/>
      <c r="M656" s="8"/>
      <c r="Q656" s="8"/>
    </row>
    <row r="657" spans="11:17">
      <c r="K657" s="8"/>
      <c r="M657" s="8"/>
      <c r="Q657" s="8"/>
    </row>
    <row r="658" spans="11:17">
      <c r="K658" s="8"/>
      <c r="M658" s="8"/>
      <c r="Q658" s="8"/>
    </row>
    <row r="659" spans="11:17">
      <c r="K659" s="8"/>
      <c r="M659" s="8"/>
      <c r="Q659" s="8"/>
    </row>
    <row r="660" spans="11:17">
      <c r="K660" s="8"/>
      <c r="M660" s="8"/>
      <c r="Q660" s="8"/>
    </row>
    <row r="661" spans="11:17">
      <c r="K661" s="8"/>
      <c r="M661" s="8"/>
      <c r="Q661" s="8"/>
    </row>
    <row r="662" spans="11:17">
      <c r="K662" s="8"/>
      <c r="M662" s="8"/>
      <c r="Q662" s="8"/>
    </row>
    <row r="663" spans="11:17">
      <c r="K663" s="8"/>
      <c r="M663" s="8"/>
      <c r="Q663" s="8"/>
    </row>
    <row r="664" spans="11:17">
      <c r="K664" s="8"/>
      <c r="M664" s="8"/>
      <c r="Q664" s="8"/>
    </row>
    <row r="665" spans="11:17">
      <c r="K665" s="8"/>
      <c r="M665" s="8"/>
      <c r="Q665" s="8"/>
    </row>
    <row r="666" spans="11:17">
      <c r="K666" s="8"/>
      <c r="M666" s="8"/>
      <c r="Q666" s="8"/>
    </row>
    <row r="667" spans="11:17">
      <c r="K667" s="8"/>
      <c r="M667" s="8"/>
      <c r="Q667" s="8"/>
    </row>
    <row r="668" spans="11:17">
      <c r="K668" s="8"/>
      <c r="M668" s="8"/>
      <c r="Q668" s="8"/>
    </row>
    <row r="669" spans="11:17">
      <c r="K669" s="8"/>
      <c r="M669" s="8"/>
      <c r="Q669" s="8"/>
    </row>
    <row r="670" spans="11:17">
      <c r="K670" s="8"/>
      <c r="M670" s="8"/>
      <c r="Q670" s="8"/>
    </row>
    <row r="671" spans="11:17">
      <c r="K671" s="8"/>
      <c r="M671" s="8"/>
      <c r="Q671" s="8"/>
    </row>
    <row r="672" spans="11:17">
      <c r="K672" s="8"/>
      <c r="M672" s="8"/>
      <c r="Q672" s="8"/>
    </row>
    <row r="673" spans="11:17">
      <c r="K673" s="8"/>
      <c r="M673" s="8"/>
      <c r="Q673" s="8"/>
    </row>
    <row r="674" spans="11:17">
      <c r="K674" s="8"/>
      <c r="M674" s="8"/>
      <c r="Q674" s="8"/>
    </row>
    <row r="675" spans="11:17">
      <c r="K675" s="8"/>
      <c r="M675" s="8"/>
      <c r="Q675" s="8"/>
    </row>
    <row r="676" spans="11:17">
      <c r="K676" s="8"/>
      <c r="M676" s="8"/>
      <c r="Q676" s="8"/>
    </row>
    <row r="677" spans="11:17">
      <c r="K677" s="8"/>
      <c r="M677" s="8"/>
      <c r="Q677" s="8"/>
    </row>
    <row r="678" spans="11:17">
      <c r="K678" s="8"/>
      <c r="M678" s="8"/>
      <c r="Q678" s="8"/>
    </row>
    <row r="679" spans="11:17">
      <c r="K679" s="8"/>
      <c r="M679" s="8"/>
      <c r="Q679" s="8"/>
    </row>
    <row r="680" spans="11:17">
      <c r="K680" s="8"/>
      <c r="M680" s="8"/>
      <c r="Q680" s="8"/>
    </row>
    <row r="681" spans="11:17">
      <c r="K681" s="8"/>
      <c r="M681" s="8"/>
      <c r="Q681" s="8"/>
    </row>
    <row r="682" spans="11:17">
      <c r="K682" s="8"/>
      <c r="M682" s="8"/>
      <c r="Q682" s="8"/>
    </row>
    <row r="683" spans="11:17">
      <c r="K683" s="8"/>
      <c r="M683" s="8"/>
      <c r="Q683" s="8"/>
    </row>
    <row r="684" spans="11:17">
      <c r="K684" s="8"/>
      <c r="M684" s="8"/>
      <c r="Q684" s="8"/>
    </row>
    <row r="685" spans="11:17">
      <c r="K685" s="8"/>
      <c r="M685" s="8"/>
      <c r="Q685" s="8"/>
    </row>
    <row r="686" spans="11:17">
      <c r="K686" s="8"/>
      <c r="M686" s="8"/>
      <c r="Q686" s="8"/>
    </row>
    <row r="687" spans="11:17">
      <c r="K687" s="8"/>
      <c r="M687" s="8"/>
      <c r="Q687" s="8"/>
    </row>
    <row r="688" spans="11:17">
      <c r="K688" s="8"/>
      <c r="M688" s="8"/>
      <c r="Q688" s="8"/>
    </row>
    <row r="689" spans="11:17">
      <c r="K689" s="8"/>
      <c r="M689" s="8"/>
      <c r="Q689" s="8"/>
    </row>
    <row r="690" spans="11:17">
      <c r="K690" s="8"/>
      <c r="M690" s="8"/>
      <c r="Q690" s="8"/>
    </row>
    <row r="691" spans="11:17">
      <c r="K691" s="8"/>
      <c r="M691" s="8"/>
      <c r="Q691" s="8"/>
    </row>
    <row r="692" spans="11:17">
      <c r="K692" s="8"/>
      <c r="M692" s="8"/>
      <c r="Q692" s="8"/>
    </row>
    <row r="693" spans="11:17">
      <c r="K693" s="8"/>
      <c r="M693" s="8"/>
      <c r="Q693" s="8"/>
    </row>
    <row r="694" spans="11:17">
      <c r="K694" s="8"/>
      <c r="M694" s="8"/>
      <c r="Q694" s="8"/>
    </row>
    <row r="695" spans="11:17">
      <c r="K695" s="8"/>
      <c r="M695" s="8"/>
      <c r="Q695" s="8"/>
    </row>
    <row r="696" spans="11:17">
      <c r="K696" s="8"/>
      <c r="M696" s="8"/>
      <c r="Q696" s="8"/>
    </row>
    <row r="697" spans="11:17">
      <c r="K697" s="8"/>
      <c r="M697" s="8"/>
      <c r="Q697" s="8"/>
    </row>
    <row r="698" spans="11:17">
      <c r="K698" s="8"/>
      <c r="M698" s="8"/>
      <c r="Q698" s="8"/>
    </row>
    <row r="699" spans="11:17">
      <c r="K699" s="8"/>
      <c r="M699" s="8"/>
      <c r="Q699" s="8"/>
    </row>
    <row r="700" spans="11:17">
      <c r="K700" s="8"/>
      <c r="M700" s="8"/>
      <c r="Q700" s="8"/>
    </row>
    <row r="701" spans="11:17">
      <c r="K701" s="8"/>
      <c r="M701" s="8"/>
      <c r="Q701" s="8"/>
    </row>
    <row r="702" spans="11:17">
      <c r="K702" s="8"/>
      <c r="M702" s="8"/>
      <c r="Q702" s="8"/>
    </row>
    <row r="703" spans="11:17">
      <c r="K703" s="8"/>
      <c r="M703" s="8"/>
      <c r="Q703" s="8"/>
    </row>
    <row r="704" spans="11:17">
      <c r="K704" s="8"/>
      <c r="M704" s="8"/>
      <c r="Q704" s="8"/>
    </row>
    <row r="705" spans="11:17">
      <c r="K705" s="8"/>
      <c r="M705" s="8"/>
      <c r="Q705" s="8"/>
    </row>
    <row r="706" spans="11:17">
      <c r="K706" s="8"/>
      <c r="M706" s="8"/>
      <c r="Q706" s="8"/>
    </row>
    <row r="707" spans="11:17">
      <c r="K707" s="8"/>
      <c r="M707" s="8"/>
      <c r="Q707" s="8"/>
    </row>
    <row r="708" spans="11:17">
      <c r="K708" s="8"/>
      <c r="M708" s="8"/>
      <c r="Q708" s="8"/>
    </row>
    <row r="709" spans="11:17">
      <c r="K709" s="8"/>
      <c r="M709" s="8"/>
      <c r="Q709" s="8"/>
    </row>
    <row r="710" spans="11:17">
      <c r="K710" s="8"/>
      <c r="M710" s="8"/>
      <c r="Q710" s="8"/>
    </row>
    <row r="711" spans="11:17">
      <c r="K711" s="8"/>
      <c r="M711" s="8"/>
      <c r="Q711" s="8"/>
    </row>
    <row r="712" spans="11:17">
      <c r="K712" s="8"/>
      <c r="M712" s="8"/>
      <c r="Q712" s="8"/>
    </row>
    <row r="713" spans="11:17">
      <c r="K713" s="8"/>
      <c r="M713" s="8"/>
      <c r="Q713" s="8"/>
    </row>
    <row r="714" spans="11:17">
      <c r="K714" s="8"/>
      <c r="M714" s="8"/>
      <c r="Q714" s="8"/>
    </row>
    <row r="715" spans="11:17">
      <c r="K715" s="8"/>
      <c r="M715" s="8"/>
      <c r="Q715" s="8"/>
    </row>
    <row r="716" spans="11:17">
      <c r="K716" s="8"/>
      <c r="M716" s="8"/>
      <c r="Q716" s="8"/>
    </row>
    <row r="717" spans="11:17">
      <c r="K717" s="8"/>
      <c r="M717" s="8"/>
      <c r="Q717" s="8"/>
    </row>
    <row r="718" spans="11:17">
      <c r="K718" s="8"/>
      <c r="M718" s="8"/>
      <c r="Q718" s="8"/>
    </row>
    <row r="719" spans="11:17">
      <c r="K719" s="8"/>
      <c r="M719" s="8"/>
      <c r="Q719" s="8"/>
    </row>
    <row r="720" spans="11:17">
      <c r="K720" s="8"/>
      <c r="M720" s="8"/>
      <c r="Q720" s="8"/>
    </row>
    <row r="721" spans="11:17">
      <c r="K721" s="8"/>
      <c r="M721" s="8"/>
      <c r="Q721" s="8"/>
    </row>
    <row r="722" spans="11:17">
      <c r="K722" s="8"/>
      <c r="M722" s="8"/>
      <c r="Q722" s="8"/>
    </row>
    <row r="723" spans="11:17">
      <c r="K723" s="8"/>
      <c r="M723" s="8"/>
      <c r="Q723" s="8"/>
    </row>
    <row r="724" spans="11:17">
      <c r="K724" s="8"/>
      <c r="M724" s="8"/>
      <c r="Q724" s="8"/>
    </row>
    <row r="725" spans="11:17">
      <c r="K725" s="8"/>
      <c r="M725" s="8"/>
      <c r="Q725" s="8"/>
    </row>
    <row r="726" spans="11:17">
      <c r="K726" s="8"/>
      <c r="M726" s="8"/>
      <c r="Q726" s="8"/>
    </row>
    <row r="727" spans="11:17">
      <c r="K727" s="8"/>
      <c r="M727" s="8"/>
      <c r="Q727" s="8"/>
    </row>
    <row r="728" spans="11:17">
      <c r="K728" s="8"/>
      <c r="M728" s="8"/>
      <c r="Q728" s="8"/>
    </row>
    <row r="729" spans="11:17">
      <c r="K729" s="8"/>
      <c r="M729" s="8"/>
      <c r="Q729" s="8"/>
    </row>
    <row r="730" spans="11:17">
      <c r="K730" s="8"/>
      <c r="M730" s="8"/>
      <c r="Q730" s="8"/>
    </row>
    <row r="731" spans="11:17">
      <c r="K731" s="8"/>
      <c r="M731" s="8"/>
      <c r="Q731" s="8"/>
    </row>
    <row r="732" spans="11:17">
      <c r="K732" s="8"/>
      <c r="M732" s="8"/>
      <c r="Q732" s="8"/>
    </row>
    <row r="733" spans="11:17">
      <c r="K733" s="8"/>
      <c r="M733" s="8"/>
      <c r="Q733" s="8"/>
    </row>
    <row r="734" spans="11:17">
      <c r="K734" s="8"/>
      <c r="M734" s="8"/>
      <c r="Q734" s="8"/>
    </row>
    <row r="735" spans="11:17">
      <c r="K735" s="8"/>
      <c r="M735" s="8"/>
      <c r="Q735" s="8"/>
    </row>
    <row r="736" spans="11:17">
      <c r="K736" s="8"/>
      <c r="M736" s="8"/>
      <c r="Q736" s="8"/>
    </row>
    <row r="737" spans="11:17">
      <c r="K737" s="8"/>
      <c r="M737" s="8"/>
      <c r="Q737" s="8"/>
    </row>
    <row r="738" spans="11:17">
      <c r="K738" s="8"/>
      <c r="M738" s="8"/>
      <c r="Q738" s="8"/>
    </row>
    <row r="739" spans="11:17">
      <c r="K739" s="8"/>
      <c r="M739" s="8"/>
      <c r="Q739" s="8"/>
    </row>
    <row r="740" spans="11:17">
      <c r="K740" s="8"/>
      <c r="M740" s="8"/>
      <c r="Q740" s="8"/>
    </row>
    <row r="741" spans="11:17">
      <c r="K741" s="8"/>
      <c r="M741" s="8"/>
      <c r="Q741" s="8"/>
    </row>
    <row r="742" spans="11:17">
      <c r="K742" s="8"/>
      <c r="M742" s="8"/>
      <c r="Q742" s="8"/>
    </row>
    <row r="743" spans="11:17">
      <c r="K743" s="8"/>
      <c r="M743" s="8"/>
      <c r="Q743" s="8"/>
    </row>
    <row r="744" spans="11:17">
      <c r="K744" s="8"/>
      <c r="M744" s="8"/>
      <c r="Q744" s="8"/>
    </row>
    <row r="745" spans="11:17">
      <c r="K745" s="8"/>
      <c r="M745" s="8"/>
      <c r="Q745" s="8"/>
    </row>
    <row r="746" spans="11:17">
      <c r="K746" s="8"/>
      <c r="M746" s="8"/>
      <c r="Q746" s="8"/>
    </row>
    <row r="747" spans="11:17">
      <c r="K747" s="8"/>
      <c r="M747" s="8"/>
      <c r="Q747" s="8"/>
    </row>
    <row r="748" spans="11:17">
      <c r="K748" s="8"/>
      <c r="M748" s="8"/>
      <c r="Q748" s="8"/>
    </row>
    <row r="749" spans="11:17">
      <c r="K749" s="8"/>
      <c r="M749" s="8"/>
      <c r="Q749" s="8"/>
    </row>
    <row r="750" spans="11:17">
      <c r="K750" s="8"/>
      <c r="M750" s="8"/>
      <c r="Q750" s="8"/>
    </row>
    <row r="751" spans="11:17">
      <c r="K751" s="8"/>
      <c r="M751" s="8"/>
      <c r="Q751" s="8"/>
    </row>
    <row r="752" spans="11:17">
      <c r="K752" s="8"/>
      <c r="M752" s="8"/>
      <c r="Q752" s="8"/>
    </row>
    <row r="753" spans="11:17">
      <c r="K753" s="8"/>
      <c r="M753" s="8"/>
      <c r="Q753" s="8"/>
    </row>
    <row r="754" spans="11:17">
      <c r="K754" s="8"/>
      <c r="M754" s="8"/>
      <c r="Q754" s="8"/>
    </row>
    <row r="755" spans="11:17">
      <c r="K755" s="8"/>
      <c r="M755" s="8"/>
      <c r="Q755" s="8"/>
    </row>
    <row r="756" spans="11:17">
      <c r="K756" s="8"/>
      <c r="M756" s="8"/>
      <c r="Q756" s="8"/>
    </row>
    <row r="757" spans="11:17">
      <c r="K757" s="8"/>
      <c r="M757" s="8"/>
      <c r="Q757" s="8"/>
    </row>
    <row r="758" spans="11:17">
      <c r="K758" s="8"/>
      <c r="M758" s="8"/>
      <c r="Q758" s="8"/>
    </row>
    <row r="759" spans="11:17">
      <c r="K759" s="8"/>
      <c r="M759" s="8"/>
      <c r="Q759" s="8"/>
    </row>
    <row r="760" spans="11:17">
      <c r="K760" s="8"/>
      <c r="M760" s="8"/>
      <c r="Q760" s="8"/>
    </row>
    <row r="761" spans="11:17">
      <c r="K761" s="8"/>
      <c r="M761" s="8"/>
      <c r="Q761" s="8"/>
    </row>
    <row r="762" spans="11:17">
      <c r="K762" s="8"/>
      <c r="M762" s="8"/>
      <c r="Q762" s="8"/>
    </row>
    <row r="763" spans="11:17">
      <c r="K763" s="8"/>
      <c r="M763" s="8"/>
      <c r="Q763" s="8"/>
    </row>
    <row r="764" spans="11:17">
      <c r="K764" s="8"/>
      <c r="M764" s="8"/>
      <c r="Q764" s="8"/>
    </row>
    <row r="765" spans="11:17">
      <c r="K765" s="8"/>
      <c r="M765" s="8"/>
      <c r="Q765" s="8"/>
    </row>
    <row r="766" spans="11:17">
      <c r="K766" s="8"/>
      <c r="M766" s="8"/>
      <c r="Q766" s="8"/>
    </row>
    <row r="767" spans="11:17">
      <c r="K767" s="8"/>
      <c r="M767" s="8"/>
      <c r="Q767" s="8"/>
    </row>
    <row r="768" spans="11:17">
      <c r="K768" s="8"/>
      <c r="M768" s="8"/>
      <c r="Q768" s="8"/>
    </row>
    <row r="769" spans="11:17">
      <c r="K769" s="8"/>
      <c r="M769" s="8"/>
      <c r="Q769" s="8"/>
    </row>
    <row r="770" spans="11:17">
      <c r="K770" s="8"/>
      <c r="M770" s="8"/>
      <c r="Q770" s="8"/>
    </row>
    <row r="771" spans="11:17">
      <c r="K771" s="8"/>
      <c r="M771" s="8"/>
      <c r="Q771" s="8"/>
    </row>
    <row r="772" spans="11:17">
      <c r="K772" s="8"/>
      <c r="M772" s="8"/>
      <c r="Q772" s="8"/>
    </row>
    <row r="773" spans="11:17">
      <c r="K773" s="8"/>
      <c r="M773" s="8"/>
      <c r="Q773" s="8"/>
    </row>
    <row r="774" spans="11:17">
      <c r="K774" s="8"/>
      <c r="M774" s="8"/>
      <c r="Q774" s="8"/>
    </row>
    <row r="775" spans="11:17">
      <c r="K775" s="8"/>
      <c r="M775" s="8"/>
      <c r="Q775" s="8"/>
    </row>
    <row r="776" spans="11:17">
      <c r="K776" s="8"/>
      <c r="M776" s="8"/>
      <c r="Q776" s="8"/>
    </row>
    <row r="777" spans="11:17">
      <c r="K777" s="8"/>
      <c r="M777" s="8"/>
      <c r="Q777" s="8"/>
    </row>
    <row r="778" spans="11:17">
      <c r="K778" s="8"/>
      <c r="M778" s="8"/>
      <c r="Q778" s="8"/>
    </row>
    <row r="779" spans="11:17">
      <c r="K779" s="8"/>
      <c r="M779" s="8"/>
      <c r="Q779" s="8"/>
    </row>
    <row r="780" spans="11:17">
      <c r="K780" s="8"/>
      <c r="M780" s="8"/>
      <c r="Q780" s="8"/>
    </row>
    <row r="781" spans="11:17">
      <c r="K781" s="8"/>
      <c r="M781" s="8"/>
      <c r="Q781" s="8"/>
    </row>
    <row r="782" spans="11:17">
      <c r="K782" s="8"/>
      <c r="M782" s="8"/>
      <c r="Q782" s="8"/>
    </row>
    <row r="783" spans="11:17">
      <c r="K783" s="8"/>
      <c r="M783" s="8"/>
      <c r="Q783" s="8"/>
    </row>
    <row r="784" spans="11:17">
      <c r="K784" s="8"/>
      <c r="M784" s="8"/>
      <c r="Q784" s="8"/>
    </row>
    <row r="785" spans="11:17">
      <c r="K785" s="8"/>
      <c r="M785" s="8"/>
      <c r="Q785" s="8"/>
    </row>
    <row r="786" spans="11:17">
      <c r="K786" s="8"/>
      <c r="M786" s="8"/>
      <c r="Q786" s="8"/>
    </row>
    <row r="787" spans="11:17">
      <c r="K787" s="8"/>
      <c r="M787" s="8"/>
      <c r="Q787" s="8"/>
    </row>
    <row r="788" spans="11:17">
      <c r="K788" s="8"/>
      <c r="M788" s="8"/>
      <c r="Q788" s="8"/>
    </row>
    <row r="789" spans="11:17">
      <c r="K789" s="8"/>
      <c r="M789" s="8"/>
      <c r="Q789" s="8"/>
    </row>
    <row r="790" spans="11:17">
      <c r="K790" s="8"/>
      <c r="M790" s="8"/>
      <c r="Q790" s="8"/>
    </row>
    <row r="791" spans="11:17">
      <c r="K791" s="8"/>
      <c r="M791" s="8"/>
      <c r="Q791" s="8"/>
    </row>
    <row r="792" spans="11:17">
      <c r="K792" s="8"/>
      <c r="M792" s="8"/>
      <c r="Q792" s="8"/>
    </row>
    <row r="793" spans="11:17">
      <c r="K793" s="8"/>
      <c r="M793" s="8"/>
      <c r="Q793" s="8"/>
    </row>
    <row r="794" spans="11:17">
      <c r="K794" s="8"/>
      <c r="M794" s="8"/>
      <c r="Q794" s="8"/>
    </row>
    <row r="795" spans="11:17">
      <c r="K795" s="8"/>
      <c r="M795" s="8"/>
      <c r="Q795" s="8"/>
    </row>
    <row r="796" spans="11:17">
      <c r="K796" s="8"/>
      <c r="M796" s="8"/>
      <c r="Q796" s="8"/>
    </row>
    <row r="797" spans="11:17">
      <c r="K797" s="8"/>
      <c r="M797" s="8"/>
      <c r="Q797" s="8"/>
    </row>
    <row r="798" spans="11:17">
      <c r="K798" s="8"/>
      <c r="M798" s="8"/>
      <c r="Q798" s="8"/>
    </row>
    <row r="799" spans="11:17">
      <c r="K799" s="8"/>
      <c r="M799" s="8"/>
      <c r="Q799" s="8"/>
    </row>
    <row r="800" spans="11:17">
      <c r="K800" s="8"/>
      <c r="M800" s="8"/>
      <c r="Q800" s="8"/>
    </row>
    <row r="801" spans="11:17">
      <c r="K801" s="8"/>
      <c r="M801" s="8"/>
      <c r="Q801" s="8"/>
    </row>
    <row r="802" spans="11:17">
      <c r="K802" s="8"/>
      <c r="M802" s="8"/>
      <c r="Q802" s="8"/>
    </row>
    <row r="803" spans="11:17">
      <c r="K803" s="8"/>
      <c r="M803" s="8"/>
      <c r="Q803" s="8"/>
    </row>
    <row r="804" spans="11:17">
      <c r="K804" s="8"/>
      <c r="M804" s="8"/>
      <c r="Q804" s="8"/>
    </row>
    <row r="805" spans="11:17">
      <c r="K805" s="8"/>
      <c r="M805" s="8"/>
      <c r="Q805" s="8"/>
    </row>
    <row r="806" spans="11:17">
      <c r="K806" s="8"/>
      <c r="M806" s="8"/>
      <c r="Q806" s="8"/>
    </row>
    <row r="807" spans="11:17">
      <c r="K807" s="8"/>
      <c r="M807" s="8"/>
      <c r="Q807" s="8"/>
    </row>
    <row r="808" spans="11:17">
      <c r="K808" s="8"/>
      <c r="M808" s="8"/>
      <c r="Q808" s="8"/>
    </row>
    <row r="809" spans="11:17">
      <c r="K809" s="8"/>
      <c r="M809" s="8"/>
      <c r="Q809" s="8"/>
    </row>
    <row r="810" spans="11:17">
      <c r="K810" s="8"/>
      <c r="M810" s="8"/>
      <c r="Q810" s="8"/>
    </row>
    <row r="811" spans="11:17">
      <c r="K811" s="8"/>
      <c r="M811" s="8"/>
      <c r="Q811" s="8"/>
    </row>
    <row r="812" spans="11:17">
      <c r="K812" s="8"/>
      <c r="M812" s="8"/>
      <c r="Q812" s="8"/>
    </row>
    <row r="813" spans="11:17">
      <c r="K813" s="8"/>
      <c r="M813" s="8"/>
      <c r="Q813" s="8"/>
    </row>
    <row r="814" spans="11:17">
      <c r="K814" s="8"/>
      <c r="M814" s="8"/>
      <c r="Q814" s="8"/>
    </row>
    <row r="815" spans="11:17">
      <c r="K815" s="8"/>
      <c r="M815" s="8"/>
      <c r="Q815" s="8"/>
    </row>
    <row r="816" spans="11:17">
      <c r="K816" s="8"/>
      <c r="M816" s="8"/>
      <c r="Q816" s="8"/>
    </row>
    <row r="817" spans="11:17">
      <c r="K817" s="8"/>
      <c r="M817" s="8"/>
      <c r="Q817" s="8"/>
    </row>
    <row r="818" spans="11:17">
      <c r="K818" s="8"/>
      <c r="M818" s="8"/>
      <c r="Q818" s="8"/>
    </row>
    <row r="819" spans="11:17">
      <c r="K819" s="8"/>
      <c r="M819" s="8"/>
      <c r="Q819" s="8"/>
    </row>
    <row r="820" spans="11:17">
      <c r="K820" s="8"/>
      <c r="M820" s="8"/>
      <c r="Q820" s="8"/>
    </row>
    <row r="821" spans="11:17">
      <c r="K821" s="8"/>
      <c r="M821" s="8"/>
      <c r="Q821" s="8"/>
    </row>
    <row r="822" spans="11:17">
      <c r="K822" s="8"/>
      <c r="M822" s="8"/>
      <c r="Q822" s="8"/>
    </row>
    <row r="823" spans="11:17">
      <c r="K823" s="8"/>
      <c r="M823" s="8"/>
      <c r="Q823" s="8"/>
    </row>
    <row r="824" spans="11:17">
      <c r="K824" s="8"/>
      <c r="M824" s="8"/>
      <c r="Q824" s="8"/>
    </row>
    <row r="825" spans="11:17">
      <c r="K825" s="8"/>
      <c r="M825" s="8"/>
      <c r="Q825" s="8"/>
    </row>
    <row r="826" spans="11:17">
      <c r="K826" s="8"/>
      <c r="M826" s="8"/>
      <c r="Q826" s="8"/>
    </row>
    <row r="827" spans="11:17">
      <c r="K827" s="8"/>
      <c r="M827" s="8"/>
      <c r="Q827" s="8"/>
    </row>
    <row r="828" spans="11:17">
      <c r="K828" s="8"/>
      <c r="M828" s="8"/>
      <c r="Q828" s="8"/>
    </row>
    <row r="829" spans="11:17">
      <c r="K829" s="8"/>
      <c r="M829" s="8"/>
      <c r="Q829" s="8"/>
    </row>
    <row r="830" spans="11:17">
      <c r="K830" s="8"/>
      <c r="M830" s="8"/>
      <c r="Q830" s="8"/>
    </row>
    <row r="831" spans="11:17">
      <c r="K831" s="8"/>
      <c r="M831" s="8"/>
      <c r="Q831" s="8"/>
    </row>
    <row r="832" spans="11:17">
      <c r="K832" s="8"/>
      <c r="M832" s="8"/>
      <c r="Q832" s="8"/>
    </row>
    <row r="833" spans="11:17">
      <c r="K833" s="8"/>
      <c r="M833" s="8"/>
      <c r="Q833" s="8"/>
    </row>
    <row r="834" spans="11:17">
      <c r="K834" s="8"/>
      <c r="M834" s="8"/>
      <c r="Q834" s="8"/>
    </row>
    <row r="835" spans="11:17">
      <c r="K835" s="8"/>
      <c r="M835" s="8"/>
      <c r="Q835" s="8"/>
    </row>
    <row r="836" spans="11:17">
      <c r="K836" s="8"/>
      <c r="M836" s="8"/>
      <c r="Q836" s="8"/>
    </row>
    <row r="837" spans="11:17">
      <c r="K837" s="8"/>
      <c r="M837" s="8"/>
      <c r="Q837" s="8"/>
    </row>
    <row r="838" spans="11:17">
      <c r="K838" s="8"/>
      <c r="M838" s="8"/>
      <c r="Q838" s="8"/>
    </row>
    <row r="839" spans="11:17">
      <c r="K839" s="8"/>
      <c r="M839" s="8"/>
      <c r="Q839" s="8"/>
    </row>
    <row r="840" spans="11:17">
      <c r="K840" s="8"/>
      <c r="M840" s="8"/>
      <c r="Q840" s="8"/>
    </row>
    <row r="841" spans="11:17">
      <c r="K841" s="8"/>
      <c r="M841" s="8"/>
      <c r="Q841" s="8"/>
    </row>
    <row r="842" spans="11:17">
      <c r="K842" s="8"/>
      <c r="M842" s="8"/>
      <c r="Q842" s="8"/>
    </row>
    <row r="843" spans="11:17">
      <c r="K843" s="8"/>
      <c r="M843" s="8"/>
      <c r="Q843" s="8"/>
    </row>
    <row r="844" spans="11:17">
      <c r="K844" s="8"/>
      <c r="M844" s="8"/>
      <c r="Q844" s="8"/>
    </row>
    <row r="845" spans="11:17">
      <c r="K845" s="8"/>
      <c r="M845" s="8"/>
      <c r="Q845" s="8"/>
    </row>
    <row r="846" spans="11:17">
      <c r="K846" s="8"/>
      <c r="M846" s="8"/>
      <c r="Q846" s="8"/>
    </row>
    <row r="847" spans="11:17">
      <c r="K847" s="8"/>
      <c r="M847" s="8"/>
      <c r="Q847" s="8"/>
    </row>
    <row r="848" spans="11:17">
      <c r="K848" s="8"/>
      <c r="M848" s="8"/>
      <c r="Q848" s="8"/>
    </row>
    <row r="849" spans="11:17">
      <c r="K849" s="8"/>
      <c r="M849" s="8"/>
      <c r="Q849" s="8"/>
    </row>
    <row r="850" spans="11:17">
      <c r="K850" s="8"/>
      <c r="M850" s="8"/>
      <c r="Q850" s="8"/>
    </row>
    <row r="851" spans="11:17">
      <c r="K851" s="8"/>
      <c r="M851" s="8"/>
      <c r="Q851" s="8"/>
    </row>
    <row r="852" spans="11:17">
      <c r="K852" s="8"/>
      <c r="M852" s="8"/>
      <c r="Q852" s="8"/>
    </row>
    <row r="853" spans="11:17">
      <c r="K853" s="8"/>
      <c r="M853" s="8"/>
      <c r="Q853" s="8"/>
    </row>
    <row r="854" spans="11:17">
      <c r="K854" s="8"/>
      <c r="M854" s="8"/>
      <c r="Q854" s="8"/>
    </row>
    <row r="855" spans="11:17">
      <c r="K855" s="8"/>
      <c r="M855" s="8"/>
      <c r="Q855" s="8"/>
    </row>
    <row r="856" spans="11:17">
      <c r="K856" s="8"/>
      <c r="M856" s="8"/>
      <c r="Q856" s="8"/>
    </row>
    <row r="857" spans="11:17">
      <c r="K857" s="8"/>
      <c r="M857" s="8"/>
      <c r="Q857" s="8"/>
    </row>
    <row r="858" spans="11:17">
      <c r="K858" s="8"/>
      <c r="M858" s="8"/>
      <c r="Q858" s="8"/>
    </row>
    <row r="859" spans="11:17">
      <c r="K859" s="8"/>
      <c r="M859" s="8"/>
      <c r="Q859" s="8"/>
    </row>
    <row r="860" spans="11:17">
      <c r="K860" s="8"/>
      <c r="M860" s="8"/>
      <c r="Q860" s="8"/>
    </row>
    <row r="861" spans="11:17">
      <c r="K861" s="8"/>
      <c r="M861" s="8"/>
      <c r="Q861" s="8"/>
    </row>
    <row r="862" spans="11:17">
      <c r="K862" s="8"/>
      <c r="M862" s="8"/>
      <c r="Q862" s="8"/>
    </row>
    <row r="863" spans="11:17">
      <c r="K863" s="8"/>
      <c r="M863" s="8"/>
      <c r="Q863" s="8"/>
    </row>
    <row r="864" spans="11:17">
      <c r="K864" s="8"/>
      <c r="M864" s="8"/>
      <c r="Q864" s="8"/>
    </row>
    <row r="865" spans="11:17">
      <c r="K865" s="8"/>
      <c r="M865" s="8"/>
      <c r="Q865" s="8"/>
    </row>
    <row r="866" spans="11:17">
      <c r="K866" s="8"/>
      <c r="M866" s="8"/>
      <c r="Q866" s="8"/>
    </row>
    <row r="867" spans="11:17">
      <c r="K867" s="8"/>
      <c r="M867" s="8"/>
      <c r="Q867" s="8"/>
    </row>
    <row r="868" spans="11:17">
      <c r="K868" s="8"/>
      <c r="M868" s="8"/>
      <c r="Q868" s="8"/>
    </row>
    <row r="869" spans="11:17">
      <c r="K869" s="8"/>
      <c r="M869" s="8"/>
      <c r="Q869" s="8"/>
    </row>
    <row r="870" spans="11:17">
      <c r="K870" s="8"/>
      <c r="M870" s="8"/>
      <c r="Q870" s="8"/>
    </row>
    <row r="871" spans="11:17">
      <c r="K871" s="8"/>
      <c r="M871" s="8"/>
      <c r="Q871" s="8"/>
    </row>
    <row r="872" spans="11:17">
      <c r="K872" s="8"/>
      <c r="M872" s="8"/>
      <c r="Q872" s="8"/>
    </row>
    <row r="873" spans="11:17">
      <c r="K873" s="8"/>
      <c r="M873" s="8"/>
      <c r="Q873" s="8"/>
    </row>
    <row r="874" spans="11:17">
      <c r="K874" s="8"/>
      <c r="M874" s="8"/>
      <c r="Q874" s="8"/>
    </row>
    <row r="875" spans="11:17">
      <c r="K875" s="8"/>
      <c r="M875" s="8"/>
      <c r="Q875" s="8"/>
    </row>
    <row r="876" spans="11:17">
      <c r="K876" s="8"/>
      <c r="M876" s="8"/>
      <c r="Q876" s="8"/>
    </row>
    <row r="877" spans="11:17">
      <c r="K877" s="8"/>
      <c r="M877" s="8"/>
      <c r="Q877" s="8"/>
    </row>
    <row r="878" spans="11:17">
      <c r="K878" s="8"/>
      <c r="M878" s="8"/>
      <c r="Q878" s="8"/>
    </row>
    <row r="879" spans="11:17">
      <c r="K879" s="8"/>
      <c r="M879" s="8"/>
      <c r="Q879" s="8"/>
    </row>
    <row r="880" spans="11:17">
      <c r="K880" s="8"/>
      <c r="M880" s="8"/>
      <c r="Q880" s="8"/>
    </row>
    <row r="881" spans="11:17">
      <c r="K881" s="8"/>
      <c r="M881" s="8"/>
      <c r="Q881" s="8"/>
    </row>
    <row r="882" spans="11:17">
      <c r="K882" s="8"/>
      <c r="M882" s="8"/>
      <c r="Q882" s="8"/>
    </row>
    <row r="883" spans="11:17">
      <c r="K883" s="8"/>
      <c r="M883" s="8"/>
      <c r="Q883" s="8"/>
    </row>
    <row r="884" spans="11:17">
      <c r="K884" s="8"/>
      <c r="M884" s="8"/>
      <c r="Q884" s="8"/>
    </row>
    <row r="885" spans="11:17">
      <c r="K885" s="8"/>
      <c r="M885" s="8"/>
      <c r="Q885" s="8"/>
    </row>
    <row r="886" spans="11:17">
      <c r="K886" s="8"/>
      <c r="M886" s="8"/>
      <c r="Q886" s="8"/>
    </row>
    <row r="887" spans="11:17">
      <c r="K887" s="8"/>
      <c r="M887" s="8"/>
      <c r="Q887" s="8"/>
    </row>
    <row r="888" spans="11:17">
      <c r="K888" s="8"/>
      <c r="M888" s="8"/>
      <c r="Q888" s="8"/>
    </row>
    <row r="889" spans="11:17">
      <c r="K889" s="8"/>
      <c r="M889" s="8"/>
      <c r="Q889" s="8"/>
    </row>
    <row r="890" spans="11:17">
      <c r="K890" s="8"/>
      <c r="M890" s="8"/>
      <c r="Q890" s="8"/>
    </row>
    <row r="891" spans="11:17">
      <c r="K891" s="8"/>
      <c r="M891" s="8"/>
      <c r="Q891" s="8"/>
    </row>
    <row r="892" spans="11:17">
      <c r="K892" s="8"/>
      <c r="M892" s="8"/>
      <c r="Q892" s="8"/>
    </row>
    <row r="893" spans="11:17">
      <c r="K893" s="8"/>
      <c r="M893" s="8"/>
      <c r="Q893" s="8"/>
    </row>
    <row r="894" spans="11:17">
      <c r="K894" s="8"/>
      <c r="M894" s="8"/>
      <c r="Q894" s="8"/>
    </row>
    <row r="895" spans="11:17">
      <c r="K895" s="8"/>
      <c r="M895" s="8"/>
      <c r="Q895" s="8"/>
    </row>
    <row r="896" spans="11:17">
      <c r="K896" s="8"/>
      <c r="M896" s="8"/>
      <c r="Q896" s="8"/>
    </row>
    <row r="897" spans="11:17">
      <c r="K897" s="8"/>
      <c r="M897" s="8"/>
      <c r="Q897" s="8"/>
    </row>
    <row r="898" spans="11:17">
      <c r="K898" s="8"/>
      <c r="M898" s="8"/>
      <c r="Q898" s="8"/>
    </row>
    <row r="899" spans="11:17">
      <c r="K899" s="8"/>
      <c r="M899" s="8"/>
      <c r="Q899" s="8"/>
    </row>
    <row r="900" spans="11:17">
      <c r="K900" s="8"/>
      <c r="M900" s="8"/>
      <c r="Q900" s="8"/>
    </row>
    <row r="901" spans="11:17">
      <c r="K901" s="8"/>
      <c r="M901" s="8"/>
      <c r="Q901" s="8"/>
    </row>
    <row r="902" spans="11:17">
      <c r="K902" s="8"/>
      <c r="M902" s="8"/>
      <c r="Q902" s="8"/>
    </row>
    <row r="903" spans="11:17">
      <c r="K903" s="8"/>
      <c r="M903" s="8"/>
      <c r="Q903" s="8"/>
    </row>
    <row r="904" spans="11:17">
      <c r="K904" s="8"/>
      <c r="M904" s="8"/>
      <c r="Q904" s="8"/>
    </row>
    <row r="905" spans="11:17">
      <c r="K905" s="8"/>
      <c r="M905" s="8"/>
      <c r="Q905" s="8"/>
    </row>
    <row r="906" spans="11:17">
      <c r="K906" s="8"/>
      <c r="M906" s="8"/>
      <c r="Q906" s="8"/>
    </row>
    <row r="907" spans="11:17">
      <c r="K907" s="8"/>
      <c r="M907" s="8"/>
      <c r="Q907" s="8"/>
    </row>
    <row r="908" spans="11:17">
      <c r="K908" s="8"/>
      <c r="M908" s="8"/>
      <c r="Q908" s="8"/>
    </row>
    <row r="909" spans="11:17">
      <c r="K909" s="8"/>
      <c r="M909" s="8"/>
      <c r="Q909" s="8"/>
    </row>
    <row r="910" spans="11:17">
      <c r="K910" s="8"/>
      <c r="M910" s="8"/>
      <c r="Q910" s="8"/>
    </row>
    <row r="911" spans="11:17">
      <c r="K911" s="8"/>
      <c r="M911" s="8"/>
      <c r="Q911" s="8"/>
    </row>
    <row r="912" spans="11:17">
      <c r="K912" s="8"/>
      <c r="M912" s="8"/>
      <c r="Q912" s="8"/>
    </row>
    <row r="913" spans="11:17">
      <c r="K913" s="8"/>
      <c r="M913" s="8"/>
      <c r="Q913" s="8"/>
    </row>
    <row r="914" spans="11:17">
      <c r="K914" s="8"/>
      <c r="M914" s="8"/>
      <c r="Q914" s="8"/>
    </row>
    <row r="915" spans="11:17">
      <c r="K915" s="8"/>
      <c r="M915" s="8"/>
      <c r="Q915" s="8"/>
    </row>
    <row r="916" spans="11:17">
      <c r="K916" s="8"/>
      <c r="M916" s="8"/>
      <c r="Q916" s="8"/>
    </row>
    <row r="917" spans="11:17">
      <c r="K917" s="8"/>
      <c r="M917" s="8"/>
      <c r="Q917" s="8"/>
    </row>
    <row r="918" spans="11:17">
      <c r="K918" s="8"/>
      <c r="M918" s="8"/>
      <c r="Q918" s="8"/>
    </row>
    <row r="919" spans="11:17">
      <c r="K919" s="8"/>
      <c r="M919" s="8"/>
      <c r="Q919" s="8"/>
    </row>
    <row r="920" spans="11:17">
      <c r="K920" s="8"/>
      <c r="M920" s="8"/>
      <c r="Q920" s="8"/>
    </row>
    <row r="921" spans="11:17">
      <c r="K921" s="8"/>
      <c r="M921" s="8"/>
      <c r="Q921" s="8"/>
    </row>
    <row r="922" spans="11:17">
      <c r="K922" s="8"/>
      <c r="M922" s="8"/>
      <c r="Q922" s="8"/>
    </row>
    <row r="923" spans="11:17">
      <c r="K923" s="8"/>
      <c r="M923" s="8"/>
      <c r="Q923" s="8"/>
    </row>
    <row r="924" spans="11:17">
      <c r="K924" s="8"/>
      <c r="M924" s="8"/>
      <c r="Q924" s="8"/>
    </row>
    <row r="925" spans="11:17">
      <c r="K925" s="8"/>
      <c r="M925" s="8"/>
      <c r="Q925" s="8"/>
    </row>
    <row r="926" spans="11:17">
      <c r="K926" s="8"/>
      <c r="M926" s="8"/>
      <c r="Q926" s="8"/>
    </row>
    <row r="927" spans="11:17">
      <c r="K927" s="8"/>
      <c r="M927" s="8"/>
      <c r="Q927" s="8"/>
    </row>
    <row r="928" spans="11:17">
      <c r="K928" s="8"/>
      <c r="M928" s="8"/>
      <c r="Q928" s="8"/>
    </row>
    <row r="929" spans="11:17">
      <c r="K929" s="8"/>
      <c r="M929" s="8"/>
      <c r="Q929" s="8"/>
    </row>
    <row r="930" spans="11:17">
      <c r="K930" s="8"/>
      <c r="M930" s="8"/>
      <c r="Q930" s="8"/>
    </row>
    <row r="931" spans="11:17">
      <c r="K931" s="8"/>
      <c r="M931" s="8"/>
      <c r="Q931" s="8"/>
    </row>
    <row r="932" spans="11:17">
      <c r="K932" s="8"/>
      <c r="M932" s="8"/>
      <c r="Q932" s="8"/>
    </row>
    <row r="933" spans="11:17">
      <c r="K933" s="8"/>
      <c r="M933" s="8"/>
      <c r="Q933" s="8"/>
    </row>
    <row r="934" spans="11:17">
      <c r="K934" s="8"/>
      <c r="M934" s="8"/>
      <c r="Q934" s="8"/>
    </row>
    <row r="935" spans="11:17">
      <c r="K935" s="8"/>
      <c r="M935" s="8"/>
      <c r="Q935" s="8"/>
    </row>
    <row r="936" spans="11:17">
      <c r="K936" s="8"/>
      <c r="M936" s="8"/>
      <c r="Q936" s="8"/>
    </row>
    <row r="937" spans="11:17">
      <c r="K937" s="8"/>
      <c r="M937" s="8"/>
      <c r="Q937" s="8"/>
    </row>
    <row r="938" spans="11:17">
      <c r="K938" s="8"/>
      <c r="M938" s="8"/>
      <c r="Q938" s="8"/>
    </row>
    <row r="939" spans="11:17">
      <c r="K939" s="8"/>
      <c r="M939" s="8"/>
      <c r="Q939" s="8"/>
    </row>
    <row r="940" spans="11:17">
      <c r="K940" s="8"/>
      <c r="M940" s="8"/>
      <c r="Q940" s="8"/>
    </row>
    <row r="941" spans="11:17">
      <c r="K941" s="8"/>
      <c r="M941" s="8"/>
      <c r="Q941" s="8"/>
    </row>
    <row r="942" spans="11:17">
      <c r="K942" s="8"/>
      <c r="M942" s="8"/>
      <c r="Q942" s="8"/>
    </row>
    <row r="943" spans="11:17">
      <c r="K943" s="8"/>
      <c r="M943" s="8"/>
      <c r="Q943" s="8"/>
    </row>
    <row r="944" spans="11:17">
      <c r="K944" s="8"/>
      <c r="M944" s="8"/>
      <c r="Q944" s="8"/>
    </row>
    <row r="945" spans="11:17">
      <c r="K945" s="8"/>
      <c r="M945" s="8"/>
      <c r="Q945" s="8"/>
    </row>
    <row r="946" spans="11:17">
      <c r="K946" s="8"/>
      <c r="M946" s="8"/>
      <c r="Q946" s="8"/>
    </row>
    <row r="947" spans="11:17">
      <c r="K947" s="8"/>
      <c r="M947" s="8"/>
      <c r="Q947" s="8"/>
    </row>
    <row r="948" spans="11:17">
      <c r="K948" s="8"/>
      <c r="M948" s="8"/>
      <c r="Q948" s="8"/>
    </row>
    <row r="949" spans="11:17">
      <c r="K949" s="8"/>
      <c r="M949" s="8"/>
      <c r="Q949" s="8"/>
    </row>
    <row r="950" spans="11:17">
      <c r="K950" s="8"/>
      <c r="M950" s="8"/>
      <c r="Q950" s="8"/>
    </row>
    <row r="951" spans="11:17">
      <c r="K951" s="8"/>
      <c r="M951" s="8"/>
      <c r="Q951" s="8"/>
    </row>
    <row r="952" spans="11:17">
      <c r="K952" s="8"/>
      <c r="M952" s="8"/>
      <c r="Q952" s="8"/>
    </row>
    <row r="953" spans="11:17">
      <c r="K953" s="8"/>
      <c r="M953" s="8"/>
      <c r="Q953" s="8"/>
    </row>
    <row r="954" spans="11:17">
      <c r="K954" s="8"/>
      <c r="M954" s="8"/>
      <c r="Q954" s="8"/>
    </row>
    <row r="955" spans="11:17">
      <c r="K955" s="8"/>
      <c r="M955" s="8"/>
      <c r="Q955" s="8"/>
    </row>
    <row r="956" spans="11:17">
      <c r="K956" s="8"/>
      <c r="M956" s="8"/>
      <c r="Q956" s="8"/>
    </row>
    <row r="957" spans="11:17">
      <c r="K957" s="8"/>
      <c r="M957" s="8"/>
      <c r="Q957" s="8"/>
    </row>
    <row r="958" spans="11:17">
      <c r="K958" s="8"/>
      <c r="M958" s="8"/>
      <c r="Q958" s="8"/>
    </row>
    <row r="959" spans="11:17">
      <c r="K959" s="8"/>
      <c r="M959" s="8"/>
      <c r="Q959" s="8"/>
    </row>
    <row r="960" spans="11:17">
      <c r="K960" s="8"/>
      <c r="M960" s="8"/>
      <c r="Q960" s="8"/>
    </row>
    <row r="961" spans="11:17">
      <c r="K961" s="8"/>
      <c r="M961" s="8"/>
      <c r="Q961" s="8"/>
    </row>
    <row r="962" spans="11:17">
      <c r="K962" s="8"/>
      <c r="M962" s="8"/>
      <c r="Q962" s="8"/>
    </row>
    <row r="963" spans="11:17">
      <c r="K963" s="8"/>
      <c r="M963" s="8"/>
      <c r="Q963" s="8"/>
    </row>
    <row r="964" spans="11:17">
      <c r="K964" s="8"/>
      <c r="M964" s="8"/>
      <c r="Q964" s="8"/>
    </row>
    <row r="965" spans="11:17">
      <c r="K965" s="8"/>
      <c r="M965" s="8"/>
      <c r="Q965" s="8"/>
    </row>
    <row r="966" spans="11:17">
      <c r="K966" s="8"/>
      <c r="M966" s="8"/>
      <c r="Q966" s="8"/>
    </row>
    <row r="967" spans="11:17">
      <c r="K967" s="8"/>
      <c r="M967" s="8"/>
      <c r="Q967" s="8"/>
    </row>
    <row r="968" spans="11:17">
      <c r="K968" s="8"/>
      <c r="M968" s="8"/>
      <c r="Q968" s="8"/>
    </row>
    <row r="969" spans="11:17">
      <c r="K969" s="8"/>
      <c r="M969" s="8"/>
      <c r="Q969" s="8"/>
    </row>
    <row r="970" spans="11:17">
      <c r="K970" s="8"/>
      <c r="M970" s="8"/>
      <c r="Q970" s="8"/>
    </row>
    <row r="971" spans="11:17">
      <c r="K971" s="8"/>
      <c r="M971" s="8"/>
      <c r="Q971" s="8"/>
    </row>
    <row r="972" spans="11:17">
      <c r="K972" s="8"/>
      <c r="M972" s="8"/>
      <c r="Q972" s="8"/>
    </row>
    <row r="973" spans="11:17">
      <c r="K973" s="8"/>
      <c r="M973" s="8"/>
      <c r="Q973" s="8"/>
    </row>
    <row r="974" spans="11:17">
      <c r="K974" s="8"/>
      <c r="M974" s="8"/>
      <c r="Q974" s="8"/>
    </row>
    <row r="975" spans="11:17">
      <c r="K975" s="8"/>
      <c r="M975" s="8"/>
      <c r="Q975" s="8"/>
    </row>
    <row r="976" spans="11:17">
      <c r="K976" s="8"/>
      <c r="M976" s="8"/>
      <c r="Q976" s="8"/>
    </row>
    <row r="977" spans="11:17">
      <c r="K977" s="8"/>
      <c r="M977" s="8"/>
      <c r="Q977" s="8"/>
    </row>
    <row r="978" spans="11:17">
      <c r="K978" s="8"/>
      <c r="M978" s="8"/>
      <c r="Q978" s="8"/>
    </row>
    <row r="979" spans="11:17">
      <c r="K979" s="8"/>
      <c r="M979" s="8"/>
      <c r="Q979" s="8"/>
    </row>
    <row r="980" spans="11:17">
      <c r="K980" s="8"/>
      <c r="M980" s="8"/>
      <c r="Q980" s="8"/>
    </row>
    <row r="981" spans="11:17">
      <c r="K981" s="8"/>
      <c r="M981" s="8"/>
      <c r="Q981" s="8"/>
    </row>
    <row r="982" spans="11:17">
      <c r="K982" s="8"/>
      <c r="M982" s="8"/>
      <c r="Q982" s="8"/>
    </row>
    <row r="983" spans="11:17">
      <c r="K983" s="8"/>
      <c r="M983" s="8"/>
      <c r="Q983" s="8"/>
    </row>
    <row r="984" spans="11:17">
      <c r="K984" s="8"/>
      <c r="M984" s="8"/>
      <c r="Q984" s="8"/>
    </row>
    <row r="985" spans="11:17">
      <c r="K985" s="8"/>
      <c r="M985" s="8"/>
      <c r="Q985" s="8"/>
    </row>
    <row r="986" spans="11:17">
      <c r="K986" s="8"/>
      <c r="M986" s="8"/>
      <c r="Q986" s="8"/>
    </row>
    <row r="987" spans="11:17">
      <c r="K987" s="8"/>
      <c r="M987" s="8"/>
      <c r="Q987" s="8"/>
    </row>
    <row r="988" spans="11:17">
      <c r="K988" s="8"/>
      <c r="M988" s="8"/>
      <c r="Q988" s="8"/>
    </row>
    <row r="989" spans="11:17">
      <c r="K989" s="8"/>
      <c r="M989" s="8"/>
      <c r="Q989" s="8"/>
    </row>
    <row r="990" spans="11:17">
      <c r="K990" s="8"/>
      <c r="M990" s="8"/>
      <c r="Q990" s="8"/>
    </row>
    <row r="991" spans="11:17">
      <c r="K991" s="8"/>
      <c r="M991" s="8"/>
      <c r="Q991" s="8"/>
    </row>
    <row r="992" spans="11:17">
      <c r="K992" s="8"/>
      <c r="M992" s="8"/>
      <c r="Q992" s="8"/>
    </row>
    <row r="993" spans="11:17">
      <c r="K993" s="8"/>
      <c r="M993" s="8"/>
      <c r="Q993" s="8"/>
    </row>
    <row r="994" spans="11:17">
      <c r="K994" s="8"/>
      <c r="M994" s="8"/>
      <c r="Q994" s="8"/>
    </row>
    <row r="995" spans="11:17">
      <c r="K995" s="8"/>
      <c r="M995" s="8"/>
      <c r="Q995" s="8"/>
    </row>
    <row r="996" spans="11:17">
      <c r="K996" s="8"/>
      <c r="M996" s="8"/>
      <c r="Q996" s="8"/>
    </row>
    <row r="997" spans="11:17">
      <c r="K997" s="8"/>
      <c r="M997" s="8"/>
      <c r="Q997" s="8"/>
    </row>
    <row r="998" spans="11:17">
      <c r="K998" s="8"/>
      <c r="M998" s="8"/>
      <c r="Q998" s="8"/>
    </row>
    <row r="999" spans="11:17">
      <c r="K999" s="8"/>
      <c r="M999" s="8"/>
      <c r="Q999" s="8"/>
    </row>
    <row r="1000" spans="11:17">
      <c r="K1000" s="8"/>
      <c r="M1000" s="8"/>
      <c r="Q1000" s="8"/>
    </row>
  </sheetData>
  <dataValidations count="7">
    <dataValidation type="list" allowBlank="1" showDropDown="1" showErrorMessage="1" sqref="E2:E93" xr:uid="{00000000-0002-0000-0100-000000000000}">
      <formula1>"float,date,string,int,array"</formula1>
    </dataValidation>
    <dataValidation type="list" allowBlank="1" showDropDown="1" showErrorMessage="1" sqref="D2:D93" xr:uid="{00000000-0002-0000-0100-000001000000}">
      <formula1>"HIGH,MEDIUM,LOW"</formula1>
    </dataValidation>
    <dataValidation type="list" allowBlank="1" showDropDown="1" showErrorMessage="1" sqref="J2:J93" xr:uid="{00000000-0002-0000-0100-000002000000}">
      <formula1>"Construction,Feedstock,Offtake,Offtaker,Technology,Overall"</formula1>
    </dataValidation>
    <dataValidation type="list" allowBlank="1" showDropDown="1" showErrorMessage="1" sqref="U2:U93" xr:uid="{00000000-0002-0000-0100-000003000000}">
      <formula1>"TRUE,FALSE"</formula1>
    </dataValidation>
    <dataValidation type="list" allowBlank="1" showDropDown="1" showErrorMessage="1" sqref="R2:S93" xr:uid="{00000000-0002-0000-0100-000004000000}">
      <formula1>"FALSE,TRUE"</formula1>
    </dataValidation>
    <dataValidation type="custom" allowBlank="1" showDropDown="1" sqref="N2:N93 Q2:Q93" xr:uid="{00000000-0002-0000-0100-000006000000}">
      <formula1>AND(ISNUMBER(N2),(NOT(OR(NOT(ISERROR(DATEVALUE(N2))), AND(ISNUMBER(N2), LEFT(CELL("format", N2))="D")))))</formula1>
    </dataValidation>
    <dataValidation type="list" allowBlank="1" sqref="P2:P93" xr:uid="{00000000-0002-0000-0100-000007000000}">
      <formula1>"MISMATCH,EXACT_MATCH,NO_REFERENCE,PARTIAL_MATCH"</formula1>
    </dataValidation>
  </dataValidations>
  <pageMargins left="0" right="0" top="0" bottom="0" header="0" footer="0"/>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50"/>
  <sheetViews>
    <sheetView showGridLines="0" workbookViewId="0"/>
  </sheetViews>
  <sheetFormatPr defaultColWidth="12.5703125" defaultRowHeight="15.75" customHeight="1"/>
  <cols>
    <col min="1" max="1" width="25.5703125" customWidth="1"/>
    <col min="2" max="2" width="15.7109375" customWidth="1"/>
    <col min="5" max="5" width="19.7109375" customWidth="1"/>
    <col min="7" max="7" width="17" customWidth="1"/>
  </cols>
  <sheetData>
    <row r="1" spans="1:15">
      <c r="A1" s="52" t="s">
        <v>125</v>
      </c>
      <c r="B1" s="53" t="s">
        <v>867</v>
      </c>
      <c r="E1" s="52" t="s">
        <v>867</v>
      </c>
      <c r="F1" s="52" t="s">
        <v>127</v>
      </c>
      <c r="G1" s="62"/>
      <c r="H1" s="63"/>
      <c r="K1" s="46" t="s">
        <v>868</v>
      </c>
      <c r="L1" s="84"/>
      <c r="M1" s="84"/>
      <c r="N1" s="84"/>
      <c r="O1" s="85"/>
    </row>
    <row r="2" spans="1:15">
      <c r="A2" s="54" t="s">
        <v>259</v>
      </c>
      <c r="B2" s="67">
        <v>3</v>
      </c>
      <c r="E2" s="52" t="s">
        <v>114</v>
      </c>
      <c r="F2" s="54" t="s">
        <v>869</v>
      </c>
      <c r="G2" s="64" t="s">
        <v>870</v>
      </c>
      <c r="H2" s="53" t="s">
        <v>871</v>
      </c>
      <c r="K2" s="47" t="s">
        <v>872</v>
      </c>
      <c r="L2" s="48"/>
      <c r="M2" s="48"/>
      <c r="N2" s="48"/>
      <c r="O2" s="86"/>
    </row>
    <row r="3" spans="1:15">
      <c r="A3" s="56" t="s">
        <v>182</v>
      </c>
      <c r="B3" s="70">
        <v>19</v>
      </c>
      <c r="C3" s="18" t="s">
        <v>873</v>
      </c>
      <c r="D3" s="19">
        <f>(B3+B7*0.5)/(B8-B5-B6)</f>
        <v>0.42948717948717946</v>
      </c>
      <c r="E3" s="54" t="s">
        <v>387</v>
      </c>
      <c r="F3" s="65">
        <v>1</v>
      </c>
      <c r="G3" s="66">
        <v>7</v>
      </c>
      <c r="H3" s="67">
        <v>8</v>
      </c>
      <c r="I3" s="20">
        <f t="shared" ref="I3:I8" si="0">G3/H3</f>
        <v>0.875</v>
      </c>
      <c r="K3" s="49" t="s">
        <v>874</v>
      </c>
      <c r="L3" s="48"/>
      <c r="M3" s="48"/>
      <c r="N3" s="48"/>
      <c r="O3" s="86"/>
    </row>
    <row r="4" spans="1:15">
      <c r="A4" s="56" t="s">
        <v>195</v>
      </c>
      <c r="B4" s="70">
        <v>27</v>
      </c>
      <c r="C4" s="21"/>
      <c r="D4" s="22"/>
      <c r="E4" s="56" t="s">
        <v>175</v>
      </c>
      <c r="F4" s="68">
        <v>2</v>
      </c>
      <c r="G4" s="69">
        <v>6</v>
      </c>
      <c r="H4" s="70">
        <v>8</v>
      </c>
      <c r="I4" s="20">
        <f t="shared" si="0"/>
        <v>0.75</v>
      </c>
      <c r="K4" s="49" t="s">
        <v>875</v>
      </c>
      <c r="L4" s="48"/>
      <c r="M4" s="48"/>
      <c r="N4" s="48"/>
      <c r="O4" s="86"/>
    </row>
    <row r="5" spans="1:15">
      <c r="A5" s="56" t="s">
        <v>165</v>
      </c>
      <c r="B5" s="70">
        <v>11</v>
      </c>
      <c r="E5" s="56" t="s">
        <v>157</v>
      </c>
      <c r="F5" s="68">
        <v>10</v>
      </c>
      <c r="G5" s="69">
        <v>29</v>
      </c>
      <c r="H5" s="70">
        <v>39</v>
      </c>
      <c r="I5" s="20">
        <f t="shared" si="0"/>
        <v>0.74358974358974361</v>
      </c>
      <c r="K5" s="49" t="s">
        <v>876</v>
      </c>
      <c r="L5" s="48"/>
      <c r="M5" s="48"/>
      <c r="N5" s="48"/>
      <c r="O5" s="86"/>
    </row>
    <row r="6" spans="1:15">
      <c r="A6" s="56" t="s">
        <v>457</v>
      </c>
      <c r="B6" s="70">
        <v>3</v>
      </c>
      <c r="E6" s="56" t="s">
        <v>134</v>
      </c>
      <c r="F6" s="68">
        <v>5</v>
      </c>
      <c r="G6" s="69">
        <v>8</v>
      </c>
      <c r="H6" s="70">
        <v>13</v>
      </c>
      <c r="I6" s="20">
        <f t="shared" si="0"/>
        <v>0.61538461538461542</v>
      </c>
      <c r="K6" s="50" t="s">
        <v>877</v>
      </c>
      <c r="L6" s="48"/>
      <c r="M6" s="48"/>
      <c r="N6" s="48"/>
      <c r="O6" s="86"/>
    </row>
    <row r="7" spans="1:15">
      <c r="A7" s="56" t="s">
        <v>144</v>
      </c>
      <c r="B7" s="70">
        <v>29</v>
      </c>
      <c r="E7" s="56" t="s">
        <v>149</v>
      </c>
      <c r="F7" s="68">
        <v>1</v>
      </c>
      <c r="G7" s="69">
        <v>23</v>
      </c>
      <c r="H7" s="70">
        <v>24</v>
      </c>
      <c r="I7" s="20">
        <f t="shared" si="0"/>
        <v>0.95833333333333337</v>
      </c>
      <c r="K7" s="87"/>
      <c r="L7" s="48"/>
      <c r="M7" s="48"/>
      <c r="N7" s="48"/>
      <c r="O7" s="86"/>
    </row>
    <row r="8" spans="1:15">
      <c r="A8" s="58" t="s">
        <v>871</v>
      </c>
      <c r="B8" s="73">
        <v>92</v>
      </c>
      <c r="E8" s="58" t="s">
        <v>871</v>
      </c>
      <c r="F8" s="71">
        <v>19</v>
      </c>
      <c r="G8" s="72">
        <v>73</v>
      </c>
      <c r="H8" s="73">
        <v>92</v>
      </c>
      <c r="I8" s="20">
        <f t="shared" si="0"/>
        <v>0.79347826086956519</v>
      </c>
      <c r="K8" s="51" t="s">
        <v>878</v>
      </c>
      <c r="L8" s="88"/>
      <c r="M8" s="88"/>
      <c r="N8" s="88"/>
      <c r="O8" s="89"/>
    </row>
    <row r="10" spans="1:15">
      <c r="A10" s="52" t="s">
        <v>867</v>
      </c>
      <c r="B10" s="52" t="s">
        <v>127</v>
      </c>
      <c r="C10" s="62"/>
      <c r="D10" s="63"/>
      <c r="G10" s="52" t="s">
        <v>867</v>
      </c>
      <c r="H10" s="52" t="s">
        <v>127</v>
      </c>
      <c r="I10" s="62"/>
      <c r="J10" s="63"/>
    </row>
    <row r="11" spans="1:15">
      <c r="A11" s="52" t="s">
        <v>117</v>
      </c>
      <c r="B11" s="54" t="s">
        <v>869</v>
      </c>
      <c r="C11" s="64" t="s">
        <v>870</v>
      </c>
      <c r="D11" s="53" t="s">
        <v>871</v>
      </c>
      <c r="G11" s="52" t="s">
        <v>119</v>
      </c>
      <c r="H11" s="54" t="s">
        <v>869</v>
      </c>
      <c r="I11" s="64" t="s">
        <v>870</v>
      </c>
      <c r="J11" s="53" t="s">
        <v>871</v>
      </c>
    </row>
    <row r="12" spans="1:15">
      <c r="A12" s="54" t="s">
        <v>160</v>
      </c>
      <c r="B12" s="65">
        <v>3</v>
      </c>
      <c r="C12" s="66">
        <v>13</v>
      </c>
      <c r="D12" s="67">
        <v>16</v>
      </c>
      <c r="E12" s="20">
        <f t="shared" ref="E12:E18" si="1">C12/D12</f>
        <v>0.8125</v>
      </c>
      <c r="G12" s="54" t="s">
        <v>162</v>
      </c>
      <c r="H12" s="65">
        <v>2</v>
      </c>
      <c r="I12" s="66">
        <v>21</v>
      </c>
      <c r="J12" s="67">
        <v>23</v>
      </c>
      <c r="K12" s="20">
        <f t="shared" ref="K12:K18" si="2">I12/J12</f>
        <v>0.91304347826086951</v>
      </c>
    </row>
    <row r="13" spans="1:15">
      <c r="A13" s="56" t="s">
        <v>748</v>
      </c>
      <c r="B13" s="68">
        <v>1</v>
      </c>
      <c r="C13" s="69">
        <v>1</v>
      </c>
      <c r="D13" s="70">
        <v>2</v>
      </c>
      <c r="E13" s="20">
        <f t="shared" si="1"/>
        <v>0.5</v>
      </c>
      <c r="G13" s="56" t="s">
        <v>139</v>
      </c>
      <c r="H13" s="68">
        <v>9</v>
      </c>
      <c r="I13" s="69">
        <v>35</v>
      </c>
      <c r="J13" s="70">
        <v>44</v>
      </c>
      <c r="K13" s="20">
        <f t="shared" si="2"/>
        <v>0.79545454545454541</v>
      </c>
    </row>
    <row r="14" spans="1:15">
      <c r="A14" s="56" t="s">
        <v>253</v>
      </c>
      <c r="B14" s="68">
        <v>3</v>
      </c>
      <c r="C14" s="69">
        <v>22</v>
      </c>
      <c r="D14" s="70">
        <v>25</v>
      </c>
      <c r="E14" s="20">
        <f t="shared" si="1"/>
        <v>0.88</v>
      </c>
      <c r="G14" s="56" t="s">
        <v>466</v>
      </c>
      <c r="H14" s="68">
        <v>3</v>
      </c>
      <c r="I14" s="69">
        <v>10</v>
      </c>
      <c r="J14" s="70">
        <v>13</v>
      </c>
      <c r="K14" s="20">
        <f t="shared" si="2"/>
        <v>0.76923076923076927</v>
      </c>
    </row>
    <row r="15" spans="1:15">
      <c r="A15" s="56" t="s">
        <v>473</v>
      </c>
      <c r="B15" s="68">
        <v>2</v>
      </c>
      <c r="C15" s="69">
        <v>3</v>
      </c>
      <c r="D15" s="70">
        <v>5</v>
      </c>
      <c r="E15" s="20">
        <f t="shared" si="1"/>
        <v>0.6</v>
      </c>
      <c r="G15" s="56" t="s">
        <v>679</v>
      </c>
      <c r="H15" s="68">
        <v>3</v>
      </c>
      <c r="I15" s="69">
        <v>3</v>
      </c>
      <c r="J15" s="70">
        <v>6</v>
      </c>
      <c r="K15" s="20">
        <f t="shared" si="2"/>
        <v>0.5</v>
      </c>
    </row>
    <row r="16" spans="1:15">
      <c r="A16" s="56" t="s">
        <v>189</v>
      </c>
      <c r="B16" s="68">
        <v>1</v>
      </c>
      <c r="C16" s="69">
        <v>10</v>
      </c>
      <c r="D16" s="70">
        <v>11</v>
      </c>
      <c r="E16" s="20">
        <f t="shared" si="1"/>
        <v>0.90909090909090906</v>
      </c>
      <c r="G16" s="56" t="s">
        <v>750</v>
      </c>
      <c r="H16" s="68">
        <v>1</v>
      </c>
      <c r="I16" s="69">
        <v>1</v>
      </c>
      <c r="J16" s="70">
        <v>2</v>
      </c>
      <c r="K16" s="20">
        <f t="shared" si="2"/>
        <v>0.5</v>
      </c>
    </row>
    <row r="17" spans="1:15">
      <c r="A17" s="56" t="s">
        <v>137</v>
      </c>
      <c r="B17" s="68">
        <v>5</v>
      </c>
      <c r="C17" s="69">
        <v>11</v>
      </c>
      <c r="D17" s="70">
        <v>16</v>
      </c>
      <c r="E17" s="20">
        <f t="shared" si="1"/>
        <v>0.6875</v>
      </c>
      <c r="G17" s="56" t="s">
        <v>738</v>
      </c>
      <c r="H17" s="68"/>
      <c r="I17" s="69">
        <v>3</v>
      </c>
      <c r="J17" s="70">
        <v>3</v>
      </c>
      <c r="K17" s="20">
        <f t="shared" si="2"/>
        <v>1</v>
      </c>
    </row>
    <row r="18" spans="1:15">
      <c r="A18" s="56" t="s">
        <v>464</v>
      </c>
      <c r="B18" s="68">
        <v>4</v>
      </c>
      <c r="C18" s="69">
        <v>13</v>
      </c>
      <c r="D18" s="70">
        <v>17</v>
      </c>
      <c r="E18" s="20">
        <f t="shared" si="1"/>
        <v>0.76470588235294112</v>
      </c>
      <c r="G18" s="56" t="s">
        <v>417</v>
      </c>
      <c r="H18" s="68">
        <v>1</v>
      </c>
      <c r="I18" s="69"/>
      <c r="J18" s="70">
        <v>1</v>
      </c>
      <c r="K18" s="20">
        <f t="shared" si="2"/>
        <v>0</v>
      </c>
    </row>
    <row r="19" spans="1:15">
      <c r="A19" s="58" t="s">
        <v>871</v>
      </c>
      <c r="B19" s="71">
        <v>19</v>
      </c>
      <c r="C19" s="72">
        <v>73</v>
      </c>
      <c r="D19" s="73">
        <v>92</v>
      </c>
      <c r="G19" s="58" t="s">
        <v>871</v>
      </c>
      <c r="H19" s="71">
        <v>19</v>
      </c>
      <c r="I19" s="72">
        <v>73</v>
      </c>
      <c r="J19" s="73">
        <v>92</v>
      </c>
    </row>
    <row r="20" spans="1:15" ht="15.75" customHeight="1">
      <c r="A20" s="60" t="s">
        <v>879</v>
      </c>
      <c r="B20" s="61" t="s">
        <v>880</v>
      </c>
    </row>
    <row r="21" spans="1:15">
      <c r="G21" s="52" t="s">
        <v>867</v>
      </c>
      <c r="H21" s="52" t="s">
        <v>125</v>
      </c>
      <c r="I21" s="62"/>
      <c r="J21" s="62"/>
      <c r="K21" s="62"/>
      <c r="L21" s="62"/>
      <c r="M21" s="63"/>
    </row>
    <row r="22" spans="1:15">
      <c r="A22" s="52" t="s">
        <v>881</v>
      </c>
      <c r="B22" s="53" t="s">
        <v>882</v>
      </c>
      <c r="D22" s="52" t="s">
        <v>883</v>
      </c>
      <c r="E22" s="53" t="s">
        <v>882</v>
      </c>
      <c r="G22" s="52" t="s">
        <v>119</v>
      </c>
      <c r="H22" s="54" t="s">
        <v>259</v>
      </c>
      <c r="I22" s="64" t="s">
        <v>182</v>
      </c>
      <c r="J22" s="64" t="s">
        <v>195</v>
      </c>
      <c r="K22" s="64" t="s">
        <v>165</v>
      </c>
      <c r="L22" s="64" t="s">
        <v>457</v>
      </c>
      <c r="M22" s="74" t="s">
        <v>144</v>
      </c>
      <c r="N22" s="22" t="s">
        <v>884</v>
      </c>
      <c r="O22" s="22" t="s">
        <v>885</v>
      </c>
    </row>
    <row r="23" spans="1:15">
      <c r="A23" s="54" t="s">
        <v>886</v>
      </c>
      <c r="B23" s="55">
        <v>8.3333333333333329E-2</v>
      </c>
      <c r="D23" s="54" t="s">
        <v>883</v>
      </c>
      <c r="E23" s="55">
        <v>1.0869565217391304E-2</v>
      </c>
      <c r="G23" s="54" t="s">
        <v>162</v>
      </c>
      <c r="H23" s="75">
        <v>0</v>
      </c>
      <c r="I23" s="76">
        <v>0.30434782608695654</v>
      </c>
      <c r="J23" s="76">
        <v>0.21739130434782608</v>
      </c>
      <c r="K23" s="76">
        <v>0.34782608695652173</v>
      </c>
      <c r="L23" s="76">
        <v>4.3478260869565216E-2</v>
      </c>
      <c r="M23" s="77">
        <v>8.6956521739130432E-2</v>
      </c>
      <c r="N23" s="24">
        <f t="shared" ref="N23:N29" si="3">I23+M23</f>
        <v>0.39130434782608697</v>
      </c>
      <c r="O23" s="23">
        <f t="shared" ref="O23:O29" si="4">K12*N23</f>
        <v>0.35727788279773154</v>
      </c>
    </row>
    <row r="24" spans="1:15">
      <c r="A24" s="56" t="s">
        <v>15</v>
      </c>
      <c r="B24" s="57">
        <v>0.22222222222222221</v>
      </c>
      <c r="D24" s="56" t="s">
        <v>133</v>
      </c>
      <c r="E24" s="57">
        <v>0.32608695652173914</v>
      </c>
      <c r="G24" s="56" t="s">
        <v>139</v>
      </c>
      <c r="H24" s="78">
        <v>6.8181818181818177E-2</v>
      </c>
      <c r="I24" s="79">
        <v>0.20454545454545456</v>
      </c>
      <c r="J24" s="79">
        <v>0.22727272727272727</v>
      </c>
      <c r="K24" s="79">
        <v>4.5454545454545456E-2</v>
      </c>
      <c r="L24" s="79">
        <v>2.2727272727272728E-2</v>
      </c>
      <c r="M24" s="80">
        <v>0.43181818181818182</v>
      </c>
      <c r="N24" s="24">
        <f t="shared" si="3"/>
        <v>0.63636363636363635</v>
      </c>
      <c r="O24" s="23">
        <f t="shared" si="4"/>
        <v>0.50619834710743794</v>
      </c>
    </row>
    <row r="25" spans="1:15">
      <c r="A25" s="56" t="s">
        <v>9</v>
      </c>
      <c r="B25" s="57">
        <v>0.22222222222222221</v>
      </c>
      <c r="D25" s="56" t="s">
        <v>887</v>
      </c>
      <c r="E25" s="57">
        <v>9.7826086956521743E-2</v>
      </c>
      <c r="G25" s="56" t="s">
        <v>466</v>
      </c>
      <c r="H25" s="78">
        <v>0</v>
      </c>
      <c r="I25" s="79">
        <v>0</v>
      </c>
      <c r="J25" s="79">
        <v>0.38461538461538464</v>
      </c>
      <c r="K25" s="79">
        <v>7.6923076923076927E-2</v>
      </c>
      <c r="L25" s="79">
        <v>7.6923076923076927E-2</v>
      </c>
      <c r="M25" s="80">
        <v>0.46153846153846156</v>
      </c>
      <c r="N25" s="24">
        <f t="shared" si="3"/>
        <v>0.46153846153846156</v>
      </c>
      <c r="O25" s="23">
        <f t="shared" si="4"/>
        <v>0.3550295857988166</v>
      </c>
    </row>
    <row r="26" spans="1:15">
      <c r="A26" s="56" t="s">
        <v>888</v>
      </c>
      <c r="B26" s="57">
        <v>2.7777777777777776E-2</v>
      </c>
      <c r="D26" s="56" t="s">
        <v>889</v>
      </c>
      <c r="E26" s="57">
        <v>1.0869565217391304E-2</v>
      </c>
      <c r="G26" s="56" t="s">
        <v>679</v>
      </c>
      <c r="H26" s="78">
        <v>0</v>
      </c>
      <c r="I26" s="79">
        <v>0</v>
      </c>
      <c r="J26" s="79">
        <v>0.66666666666666663</v>
      </c>
      <c r="K26" s="79">
        <v>0</v>
      </c>
      <c r="L26" s="79">
        <v>0</v>
      </c>
      <c r="M26" s="80">
        <v>0.33333333333333331</v>
      </c>
      <c r="N26" s="24">
        <f t="shared" si="3"/>
        <v>0.33333333333333331</v>
      </c>
      <c r="O26" s="23">
        <f t="shared" si="4"/>
        <v>0.16666666666666666</v>
      </c>
    </row>
    <row r="27" spans="1:15">
      <c r="A27" s="56" t="s">
        <v>12</v>
      </c>
      <c r="B27" s="57">
        <v>0.44444444444444442</v>
      </c>
      <c r="D27" s="56" t="s">
        <v>72</v>
      </c>
      <c r="E27" s="57">
        <v>0.2391304347826087</v>
      </c>
      <c r="G27" s="56" t="s">
        <v>750</v>
      </c>
      <c r="H27" s="78">
        <v>0</v>
      </c>
      <c r="I27" s="79">
        <v>0.5</v>
      </c>
      <c r="J27" s="79">
        <v>0.5</v>
      </c>
      <c r="K27" s="79">
        <v>0</v>
      </c>
      <c r="L27" s="79">
        <v>0</v>
      </c>
      <c r="M27" s="80">
        <v>0</v>
      </c>
      <c r="N27" s="24">
        <f t="shared" si="3"/>
        <v>0.5</v>
      </c>
      <c r="O27" s="23">
        <f t="shared" si="4"/>
        <v>0.25</v>
      </c>
    </row>
    <row r="28" spans="1:15">
      <c r="A28" s="58" t="s">
        <v>871</v>
      </c>
      <c r="B28" s="59">
        <v>1</v>
      </c>
      <c r="D28" s="56" t="s">
        <v>888</v>
      </c>
      <c r="E28" s="57">
        <v>0.22826086956521738</v>
      </c>
      <c r="G28" s="56" t="s">
        <v>738</v>
      </c>
      <c r="H28" s="78">
        <v>0</v>
      </c>
      <c r="I28" s="79">
        <v>0.66666666666666663</v>
      </c>
      <c r="J28" s="79">
        <v>0.33333333333333331</v>
      </c>
      <c r="K28" s="79">
        <v>0</v>
      </c>
      <c r="L28" s="79">
        <v>0</v>
      </c>
      <c r="M28" s="80">
        <v>0</v>
      </c>
      <c r="N28" s="24">
        <f t="shared" si="3"/>
        <v>0.66666666666666663</v>
      </c>
      <c r="O28" s="23">
        <f t="shared" si="4"/>
        <v>0.66666666666666663</v>
      </c>
    </row>
    <row r="29" spans="1:15">
      <c r="D29" s="56" t="s">
        <v>890</v>
      </c>
      <c r="E29" s="57">
        <v>8.6956521739130432E-2</v>
      </c>
      <c r="G29" s="56" t="s">
        <v>417</v>
      </c>
      <c r="H29" s="78">
        <v>0</v>
      </c>
      <c r="I29" s="79">
        <v>0</v>
      </c>
      <c r="J29" s="79">
        <v>1</v>
      </c>
      <c r="K29" s="79">
        <v>0</v>
      </c>
      <c r="L29" s="79">
        <v>0</v>
      </c>
      <c r="M29" s="80">
        <v>0</v>
      </c>
      <c r="N29" s="17">
        <f t="shared" si="3"/>
        <v>0</v>
      </c>
      <c r="O29" s="17">
        <f t="shared" si="4"/>
        <v>0</v>
      </c>
    </row>
    <row r="30" spans="1:15">
      <c r="A30" s="60" t="s">
        <v>881</v>
      </c>
      <c r="B30" s="61" t="s">
        <v>12</v>
      </c>
      <c r="D30" s="58" t="s">
        <v>871</v>
      </c>
      <c r="E30" s="59">
        <v>1</v>
      </c>
      <c r="G30" s="58" t="s">
        <v>871</v>
      </c>
      <c r="H30" s="81">
        <v>3.2608695652173912E-2</v>
      </c>
      <c r="I30" s="82">
        <v>0.20652173913043478</v>
      </c>
      <c r="J30" s="82">
        <v>0.29347826086956524</v>
      </c>
      <c r="K30" s="82">
        <v>0.11956521739130435</v>
      </c>
      <c r="L30" s="82">
        <v>3.2608695652173912E-2</v>
      </c>
      <c r="M30" s="83">
        <v>0.31521739130434784</v>
      </c>
    </row>
    <row r="31" spans="1:15">
      <c r="A31" s="60" t="s">
        <v>879</v>
      </c>
      <c r="B31" s="61" t="s">
        <v>880</v>
      </c>
    </row>
    <row r="32" spans="1:15"/>
    <row r="33" spans="1:2">
      <c r="A33" s="52" t="s">
        <v>891</v>
      </c>
      <c r="B33" s="53" t="s">
        <v>882</v>
      </c>
    </row>
    <row r="34" spans="1:2">
      <c r="A34" s="54" t="s">
        <v>8</v>
      </c>
      <c r="B34" s="55">
        <v>0.125</v>
      </c>
    </row>
    <row r="35" spans="1:2">
      <c r="A35" s="56" t="s">
        <v>892</v>
      </c>
      <c r="B35" s="57">
        <v>0.125</v>
      </c>
    </row>
    <row r="36" spans="1:2">
      <c r="A36" s="56" t="s">
        <v>893</v>
      </c>
      <c r="B36" s="57">
        <v>6.25E-2</v>
      </c>
    </row>
    <row r="37" spans="1:2">
      <c r="A37" s="56" t="s">
        <v>894</v>
      </c>
      <c r="B37" s="57">
        <v>0.1875</v>
      </c>
    </row>
    <row r="38" spans="1:2">
      <c r="A38" s="56" t="s">
        <v>895</v>
      </c>
      <c r="B38" s="57">
        <v>0.125</v>
      </c>
    </row>
    <row r="39" spans="1:2">
      <c r="A39" s="56" t="s">
        <v>896</v>
      </c>
      <c r="B39" s="57">
        <v>0.125</v>
      </c>
    </row>
    <row r="40" spans="1:2">
      <c r="A40" s="56" t="s">
        <v>897</v>
      </c>
      <c r="B40" s="57">
        <v>6.25E-2</v>
      </c>
    </row>
    <row r="41" spans="1:2" ht="15.75" customHeight="1">
      <c r="A41" s="56" t="s">
        <v>898</v>
      </c>
      <c r="B41" s="57">
        <v>0.125</v>
      </c>
    </row>
    <row r="42" spans="1:2" ht="15.75" customHeight="1">
      <c r="A42" s="56" t="s">
        <v>899</v>
      </c>
      <c r="B42" s="57">
        <v>6.25E-2</v>
      </c>
    </row>
    <row r="43" spans="1:2" ht="15.75" customHeight="1">
      <c r="A43" s="58" t="s">
        <v>871</v>
      </c>
      <c r="B43" s="59">
        <v>1</v>
      </c>
    </row>
    <row r="50" ht="16.5" customHeight="1"/>
  </sheetData>
  <mergeCells count="7">
    <mergeCell ref="K6:O7"/>
    <mergeCell ref="K8:O8"/>
    <mergeCell ref="K1:O1"/>
    <mergeCell ref="K2:O2"/>
    <mergeCell ref="K3:O3"/>
    <mergeCell ref="K4:O4"/>
    <mergeCell ref="K5:O5"/>
  </mergeCells>
  <conditionalFormatting sqref="I3:I8">
    <cfRule type="colorScale" priority="1">
      <colorScale>
        <cfvo type="min"/>
        <cfvo type="max"/>
        <color rgb="FFE67C73"/>
        <color rgb="FFFFFFFF"/>
      </colorScale>
    </cfRule>
  </conditionalFormatting>
  <conditionalFormatting sqref="K12:K18">
    <cfRule type="colorScale" priority="2">
      <colorScale>
        <cfvo type="min"/>
        <cfvo type="max"/>
        <color rgb="FFFFFFFF"/>
        <color rgb="FF57BB8A"/>
      </colorScale>
    </cfRule>
  </conditionalFormatting>
  <conditionalFormatting sqref="E12:E18">
    <cfRule type="colorScale" priority="3">
      <colorScale>
        <cfvo type="min"/>
        <cfvo type="max"/>
        <color rgb="FFE67C73"/>
        <color rgb="FFFFFFFF"/>
      </colorScale>
    </cfRule>
  </conditionalFormatting>
  <conditionalFormatting sqref="B2:B7">
    <cfRule type="colorScale" priority="4">
      <colorScale>
        <cfvo type="min"/>
        <cfvo type="max"/>
        <color rgb="FFFFFFFF"/>
        <color rgb="FF57BB8A"/>
      </colorScale>
    </cfRule>
  </conditionalFormatting>
  <pageMargins left="0" right="0" top="0" bottom="0" header="0" footer="0"/>
  <legacyDrawing r:id="rId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X93"/>
  <sheetViews>
    <sheetView workbookViewId="0">
      <pane xSplit="1" ySplit="1" topLeftCell="B2" activePane="bottomRight" state="frozen"/>
      <selection pane="bottomRight" activeCell="B2" sqref="B2"/>
      <selection pane="bottomLeft" activeCell="A2" sqref="A2"/>
      <selection pane="topRight" activeCell="B1" sqref="B1"/>
    </sheetView>
  </sheetViews>
  <sheetFormatPr defaultColWidth="12.5703125" defaultRowHeight="15.75" customHeight="1"/>
  <cols>
    <col min="1" max="1" width="52.28515625" customWidth="1"/>
    <col min="2" max="2" width="30.7109375" customWidth="1"/>
    <col min="3" max="3" width="18.42578125" customWidth="1"/>
    <col min="4" max="4" width="17" customWidth="1"/>
    <col min="5" max="5" width="48.85546875" customWidth="1"/>
    <col min="7" max="7" width="42.85546875" customWidth="1"/>
    <col min="9" max="9" width="13.85546875" customWidth="1"/>
    <col min="10" max="10" width="14.7109375" customWidth="1"/>
    <col min="12" max="13" width="21.42578125" customWidth="1"/>
    <col min="14" max="14" width="13.5703125" customWidth="1"/>
    <col min="15" max="15" width="28.7109375" customWidth="1"/>
    <col min="16" max="16" width="37.85546875" customWidth="1"/>
    <col min="17" max="17" width="13.85546875" customWidth="1"/>
    <col min="18" max="18" width="17" customWidth="1"/>
    <col min="19" max="19" width="24.140625" customWidth="1"/>
    <col min="20" max="21" width="17.140625" customWidth="1"/>
    <col min="22" max="22" width="31.28515625" customWidth="1"/>
    <col min="24" max="24" width="16.42578125" customWidth="1"/>
    <col min="25" max="25" width="47.28515625" customWidth="1"/>
    <col min="26" max="50" width="14.5703125" customWidth="1"/>
  </cols>
  <sheetData>
    <row r="1" spans="1:50" ht="22.5" customHeight="1">
      <c r="A1" s="37" t="s">
        <v>900</v>
      </c>
      <c r="B1" s="25" t="s">
        <v>901</v>
      </c>
      <c r="C1" s="37" t="s">
        <v>902</v>
      </c>
      <c r="D1" s="37" t="s">
        <v>903</v>
      </c>
      <c r="E1" s="37" t="s">
        <v>904</v>
      </c>
      <c r="F1" s="37" t="s">
        <v>905</v>
      </c>
      <c r="G1" s="37" t="s">
        <v>906</v>
      </c>
      <c r="H1" s="37" t="s">
        <v>907</v>
      </c>
      <c r="I1" s="25" t="s">
        <v>908</v>
      </c>
      <c r="J1" s="37" t="s">
        <v>879</v>
      </c>
      <c r="K1" s="25" t="s">
        <v>909</v>
      </c>
      <c r="L1" s="25" t="s">
        <v>910</v>
      </c>
      <c r="M1" s="37" t="s">
        <v>911</v>
      </c>
      <c r="N1" s="37" t="s">
        <v>912</v>
      </c>
      <c r="O1" s="37" t="s">
        <v>913</v>
      </c>
      <c r="P1" s="37" t="s">
        <v>914</v>
      </c>
      <c r="Q1" s="37" t="s">
        <v>915</v>
      </c>
      <c r="R1" s="37" t="s">
        <v>916</v>
      </c>
      <c r="S1" s="37" t="s">
        <v>891</v>
      </c>
      <c r="T1" s="37" t="s">
        <v>917</v>
      </c>
      <c r="U1" s="25" t="s">
        <v>881</v>
      </c>
      <c r="V1" s="37" t="s">
        <v>918</v>
      </c>
      <c r="W1" s="37" t="s">
        <v>919</v>
      </c>
      <c r="X1" s="37" t="s">
        <v>920</v>
      </c>
      <c r="Y1" s="37" t="s">
        <v>921</v>
      </c>
      <c r="Z1" s="27"/>
      <c r="AA1" s="27"/>
      <c r="AB1" s="27"/>
      <c r="AC1" s="27"/>
      <c r="AD1" s="27"/>
      <c r="AE1" s="27"/>
      <c r="AF1" s="27"/>
      <c r="AG1" s="27"/>
      <c r="AH1" s="27"/>
      <c r="AI1" s="27"/>
      <c r="AJ1" s="27"/>
      <c r="AK1" s="27"/>
      <c r="AL1" s="27"/>
      <c r="AM1" s="27"/>
      <c r="AN1" s="27"/>
      <c r="AO1" s="27"/>
      <c r="AP1" s="27"/>
      <c r="AQ1" s="27"/>
      <c r="AR1" s="27"/>
      <c r="AS1" s="27"/>
      <c r="AT1" s="27"/>
      <c r="AU1" s="27"/>
      <c r="AV1" s="27"/>
      <c r="AW1" s="27"/>
      <c r="AX1" s="27"/>
    </row>
    <row r="2" spans="1:50" ht="22.5" customHeight="1">
      <c r="A2" s="28" t="s">
        <v>131</v>
      </c>
      <c r="B2" s="37" t="s">
        <v>140</v>
      </c>
      <c r="C2" s="37" t="s">
        <v>922</v>
      </c>
      <c r="D2" s="37" t="s">
        <v>72</v>
      </c>
      <c r="E2" s="37" t="s">
        <v>923</v>
      </c>
      <c r="F2" s="37">
        <v>3</v>
      </c>
      <c r="G2" s="37">
        <v>10300000</v>
      </c>
      <c r="H2" s="37">
        <v>1</v>
      </c>
      <c r="I2" s="37" t="s">
        <v>924</v>
      </c>
      <c r="J2" s="37" t="s">
        <v>925</v>
      </c>
      <c r="K2" s="37" t="s">
        <v>926</v>
      </c>
      <c r="L2" s="37" t="s">
        <v>136</v>
      </c>
      <c r="M2" s="37" t="s">
        <v>136</v>
      </c>
      <c r="N2" s="37" t="s">
        <v>57</v>
      </c>
      <c r="O2" s="37" t="s">
        <v>137</v>
      </c>
      <c r="P2" s="37" t="s">
        <v>137</v>
      </c>
      <c r="Q2" s="37" t="s">
        <v>57</v>
      </c>
      <c r="R2" s="37" t="s">
        <v>927</v>
      </c>
      <c r="S2" s="37" t="s">
        <v>928</v>
      </c>
      <c r="T2" s="37" t="s">
        <v>929</v>
      </c>
      <c r="U2" s="37" t="str">
        <f t="shared" ref="U2:U93" si="0">IF(ISNUMBER(SEARCH("Extraction",T2)),"Extraction",
IF(ISNUMBER(SEARCH("Retrieval",T2)),"Retrieval",
IF(ISNUMBER(SEARCH("Interpretation",T2)),"Interpretation",
IF(ISNUMBER(SEARCH("None",T2)),"None","everything else"))))</f>
        <v>Extraction</v>
      </c>
      <c r="V2" s="37" t="s">
        <v>930</v>
      </c>
      <c r="W2" s="37" t="s">
        <v>72</v>
      </c>
      <c r="X2" s="37" t="s">
        <v>76</v>
      </c>
      <c r="Y2" s="37" t="s">
        <v>931</v>
      </c>
      <c r="Z2" s="27"/>
      <c r="AA2" s="27"/>
      <c r="AB2" s="27"/>
      <c r="AC2" s="27"/>
      <c r="AD2" s="27"/>
      <c r="AE2" s="27"/>
      <c r="AF2" s="27"/>
      <c r="AG2" s="27"/>
      <c r="AH2" s="27"/>
      <c r="AI2" s="27"/>
      <c r="AJ2" s="27"/>
      <c r="AK2" s="27"/>
      <c r="AL2" s="27"/>
      <c r="AM2" s="27"/>
      <c r="AN2" s="27"/>
      <c r="AO2" s="27"/>
      <c r="AP2" s="27"/>
      <c r="AQ2" s="27"/>
      <c r="AR2" s="27"/>
      <c r="AS2" s="27"/>
      <c r="AT2" s="27"/>
      <c r="AU2" s="27"/>
      <c r="AV2" s="27"/>
      <c r="AW2" s="27"/>
      <c r="AX2" s="27"/>
    </row>
    <row r="3" spans="1:50" ht="22.5" customHeight="1">
      <c r="A3" s="28" t="s">
        <v>146</v>
      </c>
      <c r="B3" s="37" t="s">
        <v>140</v>
      </c>
      <c r="C3" s="37" t="s">
        <v>922</v>
      </c>
      <c r="D3" s="37" t="s">
        <v>72</v>
      </c>
      <c r="E3" s="37" t="s">
        <v>152</v>
      </c>
      <c r="F3" s="37"/>
      <c r="G3" s="37" t="s">
        <v>148</v>
      </c>
      <c r="H3" s="37"/>
      <c r="I3" s="37" t="s">
        <v>924</v>
      </c>
      <c r="J3" s="37" t="s">
        <v>926</v>
      </c>
      <c r="K3" s="37" t="s">
        <v>932</v>
      </c>
      <c r="L3" s="37" t="s">
        <v>136</v>
      </c>
      <c r="M3" s="37" t="s">
        <v>136</v>
      </c>
      <c r="N3" s="37" t="s">
        <v>57</v>
      </c>
      <c r="O3" s="37" t="s">
        <v>137</v>
      </c>
      <c r="P3" s="37" t="s">
        <v>137</v>
      </c>
      <c r="Q3" s="37" t="s">
        <v>57</v>
      </c>
      <c r="R3" s="37" t="s">
        <v>927</v>
      </c>
      <c r="S3" s="37" t="s">
        <v>933</v>
      </c>
      <c r="T3" s="37" t="s">
        <v>929</v>
      </c>
      <c r="U3" s="37" t="str">
        <f t="shared" si="0"/>
        <v>Extraction</v>
      </c>
      <c r="V3" s="37" t="s">
        <v>934</v>
      </c>
      <c r="W3" s="37" t="s">
        <v>889</v>
      </c>
      <c r="X3" s="37" t="s">
        <v>72</v>
      </c>
      <c r="Y3" s="37" t="s">
        <v>935</v>
      </c>
      <c r="Z3" s="27"/>
      <c r="AA3" s="27"/>
      <c r="AB3" s="27"/>
      <c r="AC3" s="27"/>
      <c r="AD3" s="27"/>
      <c r="AE3" s="27"/>
      <c r="AF3" s="27"/>
      <c r="AG3" s="27"/>
      <c r="AH3" s="27"/>
      <c r="AI3" s="27"/>
      <c r="AJ3" s="27"/>
      <c r="AK3" s="27"/>
      <c r="AL3" s="27"/>
      <c r="AM3" s="27"/>
      <c r="AN3" s="27"/>
      <c r="AO3" s="27"/>
      <c r="AP3" s="27"/>
      <c r="AQ3" s="27"/>
      <c r="AR3" s="27"/>
      <c r="AS3" s="27"/>
      <c r="AT3" s="27"/>
      <c r="AU3" s="27"/>
      <c r="AV3" s="27"/>
      <c r="AW3" s="27"/>
      <c r="AX3" s="27"/>
    </row>
    <row r="4" spans="1:50" ht="22.5" customHeight="1">
      <c r="A4" s="28" t="s">
        <v>173</v>
      </c>
      <c r="B4" s="37" t="s">
        <v>178</v>
      </c>
      <c r="C4" s="37" t="s">
        <v>922</v>
      </c>
      <c r="D4" s="37" t="s">
        <v>72</v>
      </c>
      <c r="E4" s="37" t="s">
        <v>180</v>
      </c>
      <c r="F4" s="37"/>
      <c r="G4" s="26">
        <v>47484</v>
      </c>
      <c r="H4" s="37"/>
      <c r="I4" s="37" t="s">
        <v>924</v>
      </c>
      <c r="J4" s="37" t="s">
        <v>932</v>
      </c>
      <c r="K4" s="37" t="s">
        <v>932</v>
      </c>
      <c r="L4" s="37" t="s">
        <v>159</v>
      </c>
      <c r="M4" s="37" t="s">
        <v>159</v>
      </c>
      <c r="N4" s="37" t="s">
        <v>57</v>
      </c>
      <c r="O4" s="37" t="s">
        <v>160</v>
      </c>
      <c r="P4" s="37" t="s">
        <v>160</v>
      </c>
      <c r="Q4" s="37" t="s">
        <v>57</v>
      </c>
      <c r="R4" s="37" t="s">
        <v>927</v>
      </c>
      <c r="S4" s="37" t="s">
        <v>888</v>
      </c>
      <c r="T4" s="37" t="s">
        <v>936</v>
      </c>
      <c r="U4" s="37" t="str">
        <f t="shared" si="0"/>
        <v>None</v>
      </c>
      <c r="V4" s="37" t="s">
        <v>937</v>
      </c>
      <c r="W4" s="37" t="s">
        <v>888</v>
      </c>
      <c r="X4" s="37" t="s">
        <v>888</v>
      </c>
      <c r="Y4" s="37" t="s">
        <v>938</v>
      </c>
      <c r="Z4" s="27"/>
      <c r="AA4" s="27"/>
      <c r="AB4" s="27"/>
      <c r="AC4" s="27"/>
      <c r="AD4" s="27"/>
      <c r="AE4" s="27"/>
      <c r="AF4" s="27"/>
      <c r="AG4" s="27"/>
      <c r="AH4" s="27"/>
      <c r="AI4" s="27"/>
      <c r="AJ4" s="27"/>
      <c r="AK4" s="27"/>
      <c r="AL4" s="27"/>
      <c r="AM4" s="27"/>
      <c r="AN4" s="27"/>
      <c r="AO4" s="27"/>
      <c r="AP4" s="27"/>
      <c r="AQ4" s="27"/>
      <c r="AR4" s="27"/>
      <c r="AS4" s="27"/>
      <c r="AT4" s="27"/>
      <c r="AU4" s="27"/>
      <c r="AV4" s="27"/>
      <c r="AW4" s="27"/>
      <c r="AX4" s="27"/>
    </row>
    <row r="5" spans="1:50" ht="22.5" customHeight="1">
      <c r="A5" s="28" t="s">
        <v>184</v>
      </c>
      <c r="B5" s="37" t="s">
        <v>191</v>
      </c>
      <c r="C5" s="37" t="s">
        <v>939</v>
      </c>
      <c r="D5" s="37" t="s">
        <v>72</v>
      </c>
      <c r="E5" s="37" t="s">
        <v>940</v>
      </c>
      <c r="F5" s="37"/>
      <c r="G5" s="37" t="s">
        <v>186</v>
      </c>
      <c r="H5" s="37"/>
      <c r="I5" s="37" t="s">
        <v>924</v>
      </c>
      <c r="J5" s="37" t="s">
        <v>925</v>
      </c>
      <c r="K5" s="37" t="s">
        <v>926</v>
      </c>
      <c r="L5" s="37" t="s">
        <v>188</v>
      </c>
      <c r="M5" s="37" t="s">
        <v>188</v>
      </c>
      <c r="N5" s="37" t="s">
        <v>57</v>
      </c>
      <c r="O5" s="37" t="s">
        <v>189</v>
      </c>
      <c r="P5" s="37" t="s">
        <v>189</v>
      </c>
      <c r="Q5" s="37" t="s">
        <v>57</v>
      </c>
      <c r="R5" s="37" t="s">
        <v>941</v>
      </c>
      <c r="S5" s="37" t="s">
        <v>896</v>
      </c>
      <c r="T5" s="37" t="s">
        <v>942</v>
      </c>
      <c r="U5" s="37" t="str">
        <f t="shared" si="0"/>
        <v>Retrieval</v>
      </c>
      <c r="V5" s="37" t="s">
        <v>943</v>
      </c>
      <c r="W5" s="37" t="s">
        <v>133</v>
      </c>
      <c r="X5" s="37" t="s">
        <v>883</v>
      </c>
      <c r="Y5" s="37" t="s">
        <v>944</v>
      </c>
      <c r="Z5" s="27"/>
      <c r="AA5" s="27"/>
      <c r="AB5" s="27"/>
      <c r="AC5" s="27"/>
      <c r="AD5" s="27"/>
      <c r="AE5" s="27"/>
      <c r="AF5" s="27"/>
      <c r="AG5" s="27"/>
      <c r="AH5" s="27"/>
      <c r="AI5" s="27"/>
      <c r="AJ5" s="27"/>
      <c r="AK5" s="27"/>
      <c r="AL5" s="27"/>
      <c r="AM5" s="27"/>
      <c r="AN5" s="27"/>
      <c r="AO5" s="27"/>
      <c r="AP5" s="27"/>
      <c r="AQ5" s="27"/>
      <c r="AR5" s="27"/>
      <c r="AS5" s="27"/>
      <c r="AT5" s="27"/>
      <c r="AU5" s="27"/>
      <c r="AV5" s="27"/>
      <c r="AW5" s="27"/>
      <c r="AX5" s="27"/>
    </row>
    <row r="6" spans="1:50" ht="22.5" customHeight="1">
      <c r="A6" s="28" t="s">
        <v>197</v>
      </c>
      <c r="B6" s="37" t="s">
        <v>191</v>
      </c>
      <c r="C6" s="37" t="s">
        <v>922</v>
      </c>
      <c r="D6" s="37" t="s">
        <v>72</v>
      </c>
      <c r="E6" s="37" t="s">
        <v>945</v>
      </c>
      <c r="F6" s="37"/>
      <c r="G6" s="37">
        <v>1379976925</v>
      </c>
      <c r="H6" s="37"/>
      <c r="I6" s="37" t="s">
        <v>924</v>
      </c>
      <c r="J6" s="37" t="s">
        <v>925</v>
      </c>
      <c r="K6" s="37" t="s">
        <v>926</v>
      </c>
      <c r="L6" s="37" t="s">
        <v>188</v>
      </c>
      <c r="M6" s="37" t="s">
        <v>188</v>
      </c>
      <c r="N6" s="37" t="s">
        <v>57</v>
      </c>
      <c r="O6" s="37" t="s">
        <v>189</v>
      </c>
      <c r="P6" s="37" t="s">
        <v>189</v>
      </c>
      <c r="Q6" s="37" t="s">
        <v>57</v>
      </c>
      <c r="R6" s="37" t="s">
        <v>927</v>
      </c>
      <c r="S6" s="37" t="s">
        <v>896</v>
      </c>
      <c r="T6" s="37" t="s">
        <v>942</v>
      </c>
      <c r="U6" s="37" t="str">
        <f t="shared" si="0"/>
        <v>Retrieval</v>
      </c>
      <c r="V6" s="37" t="s">
        <v>946</v>
      </c>
      <c r="W6" s="39" t="s">
        <v>133</v>
      </c>
      <c r="X6" s="37" t="s">
        <v>883</v>
      </c>
      <c r="Y6" s="37" t="s">
        <v>947</v>
      </c>
      <c r="Z6" s="27"/>
      <c r="AA6" s="27"/>
      <c r="AB6" s="27"/>
      <c r="AC6" s="27"/>
      <c r="AD6" s="27"/>
      <c r="AE6" s="27"/>
      <c r="AF6" s="27"/>
      <c r="AG6" s="27"/>
      <c r="AH6" s="27"/>
      <c r="AI6" s="27"/>
      <c r="AJ6" s="27"/>
      <c r="AK6" s="27"/>
      <c r="AL6" s="27"/>
      <c r="AM6" s="27"/>
      <c r="AN6" s="27"/>
      <c r="AO6" s="27"/>
      <c r="AP6" s="27"/>
      <c r="AQ6" s="27"/>
      <c r="AR6" s="27"/>
      <c r="AS6" s="27"/>
      <c r="AT6" s="27"/>
      <c r="AU6" s="27"/>
      <c r="AV6" s="27"/>
      <c r="AW6" s="27"/>
      <c r="AX6" s="27"/>
    </row>
    <row r="7" spans="1:50" ht="22.5" customHeight="1">
      <c r="A7" s="28" t="s">
        <v>204</v>
      </c>
      <c r="B7" s="37" t="s">
        <v>191</v>
      </c>
      <c r="C7" s="37" t="s">
        <v>922</v>
      </c>
      <c r="D7" s="37" t="s">
        <v>72</v>
      </c>
      <c r="E7" s="37" t="s">
        <v>948</v>
      </c>
      <c r="F7" s="37"/>
      <c r="G7" s="37" t="s">
        <v>206</v>
      </c>
      <c r="H7" s="37"/>
      <c r="I7" s="37" t="s">
        <v>924</v>
      </c>
      <c r="J7" s="37" t="s">
        <v>925</v>
      </c>
      <c r="K7" s="37" t="s">
        <v>926</v>
      </c>
      <c r="L7" s="37" t="s">
        <v>188</v>
      </c>
      <c r="M7" s="37" t="s">
        <v>188</v>
      </c>
      <c r="N7" s="37" t="s">
        <v>57</v>
      </c>
      <c r="O7" s="37" t="s">
        <v>189</v>
      </c>
      <c r="P7" s="37" t="s">
        <v>189</v>
      </c>
      <c r="Q7" s="37" t="s">
        <v>57</v>
      </c>
      <c r="R7" s="39" t="s">
        <v>927</v>
      </c>
      <c r="S7" s="37" t="s">
        <v>8</v>
      </c>
      <c r="T7" s="37" t="s">
        <v>942</v>
      </c>
      <c r="U7" s="37" t="str">
        <f t="shared" si="0"/>
        <v>Retrieval</v>
      </c>
      <c r="V7" s="37" t="s">
        <v>949</v>
      </c>
      <c r="W7" s="37" t="s">
        <v>133</v>
      </c>
      <c r="X7" s="37" t="s">
        <v>883</v>
      </c>
      <c r="Y7" s="37" t="s">
        <v>950</v>
      </c>
      <c r="Z7" s="27"/>
      <c r="AA7" s="27"/>
      <c r="AB7" s="27"/>
      <c r="AC7" s="27"/>
      <c r="AD7" s="27"/>
      <c r="AE7" s="27"/>
      <c r="AF7" s="27"/>
      <c r="AG7" s="27"/>
      <c r="AH7" s="27"/>
      <c r="AI7" s="27"/>
      <c r="AJ7" s="27"/>
      <c r="AK7" s="27"/>
      <c r="AL7" s="27"/>
      <c r="AM7" s="27"/>
      <c r="AN7" s="27"/>
      <c r="AO7" s="27"/>
      <c r="AP7" s="27"/>
      <c r="AQ7" s="27"/>
      <c r="AR7" s="27"/>
      <c r="AS7" s="27"/>
      <c r="AT7" s="27"/>
      <c r="AU7" s="27"/>
      <c r="AV7" s="27"/>
      <c r="AW7" s="27"/>
      <c r="AX7" s="27"/>
    </row>
    <row r="8" spans="1:50" ht="22.5" customHeight="1">
      <c r="A8" s="28" t="s">
        <v>212</v>
      </c>
      <c r="B8" s="37"/>
      <c r="C8" s="37"/>
      <c r="D8" s="37"/>
      <c r="E8" s="37"/>
      <c r="F8" s="37"/>
      <c r="G8" s="37" t="s">
        <v>214</v>
      </c>
      <c r="H8" s="37"/>
      <c r="I8" s="37" t="s">
        <v>924</v>
      </c>
      <c r="J8" s="37" t="s">
        <v>932</v>
      </c>
      <c r="K8" s="37" t="s">
        <v>932</v>
      </c>
      <c r="L8" s="37"/>
      <c r="M8" s="37" t="s">
        <v>188</v>
      </c>
      <c r="N8" s="37" t="s">
        <v>888</v>
      </c>
      <c r="O8" s="37"/>
      <c r="P8" s="37" t="s">
        <v>189</v>
      </c>
      <c r="Q8" s="37" t="s">
        <v>951</v>
      </c>
      <c r="R8" s="37" t="s">
        <v>952</v>
      </c>
      <c r="S8" s="37" t="s">
        <v>953</v>
      </c>
      <c r="T8" s="37" t="s">
        <v>888</v>
      </c>
      <c r="U8" s="37" t="str">
        <f t="shared" si="0"/>
        <v>None</v>
      </c>
      <c r="V8" s="39" t="s">
        <v>937</v>
      </c>
      <c r="W8" s="39" t="s">
        <v>888</v>
      </c>
      <c r="X8" s="37" t="s">
        <v>888</v>
      </c>
      <c r="Y8" s="37" t="s">
        <v>954</v>
      </c>
      <c r="Z8" s="27"/>
      <c r="AA8" s="27"/>
      <c r="AB8" s="27"/>
      <c r="AC8" s="27"/>
      <c r="AD8" s="27"/>
      <c r="AE8" s="27"/>
      <c r="AF8" s="27"/>
      <c r="AG8" s="27"/>
      <c r="AH8" s="27"/>
      <c r="AI8" s="27"/>
      <c r="AJ8" s="27"/>
      <c r="AK8" s="27"/>
      <c r="AL8" s="27"/>
      <c r="AM8" s="27"/>
      <c r="AN8" s="27"/>
      <c r="AO8" s="27"/>
      <c r="AP8" s="27"/>
      <c r="AQ8" s="27"/>
      <c r="AR8" s="27"/>
      <c r="AS8" s="27"/>
      <c r="AT8" s="27"/>
      <c r="AU8" s="27"/>
      <c r="AV8" s="27"/>
      <c r="AW8" s="27"/>
      <c r="AX8" s="27"/>
    </row>
    <row r="9" spans="1:50" ht="22.5" customHeight="1">
      <c r="A9" s="28" t="s">
        <v>219</v>
      </c>
      <c r="B9" s="37" t="s">
        <v>191</v>
      </c>
      <c r="C9" s="37" t="s">
        <v>922</v>
      </c>
      <c r="D9" s="37" t="s">
        <v>72</v>
      </c>
      <c r="E9" s="37" t="s">
        <v>955</v>
      </c>
      <c r="F9" s="37"/>
      <c r="G9" s="37" t="s">
        <v>221</v>
      </c>
      <c r="H9" s="37"/>
      <c r="I9" s="37" t="s">
        <v>924</v>
      </c>
      <c r="J9" s="37" t="s">
        <v>925</v>
      </c>
      <c r="K9" s="37" t="s">
        <v>926</v>
      </c>
      <c r="L9" s="37" t="s">
        <v>188</v>
      </c>
      <c r="M9" s="37" t="s">
        <v>188</v>
      </c>
      <c r="N9" s="37" t="s">
        <v>57</v>
      </c>
      <c r="O9" s="37" t="s">
        <v>189</v>
      </c>
      <c r="P9" s="37" t="s">
        <v>189</v>
      </c>
      <c r="Q9" s="37" t="s">
        <v>57</v>
      </c>
      <c r="R9" s="39" t="s">
        <v>927</v>
      </c>
      <c r="S9" s="37" t="s">
        <v>8</v>
      </c>
      <c r="T9" s="37" t="s">
        <v>956</v>
      </c>
      <c r="U9" s="37" t="str">
        <f t="shared" si="0"/>
        <v>Retrieval</v>
      </c>
      <c r="V9" s="37" t="s">
        <v>957</v>
      </c>
      <c r="W9" s="37" t="s">
        <v>133</v>
      </c>
      <c r="X9" s="37" t="s">
        <v>883</v>
      </c>
      <c r="Y9" s="37" t="s">
        <v>958</v>
      </c>
      <c r="Z9" s="27"/>
      <c r="AA9" s="27"/>
      <c r="AB9" s="27"/>
      <c r="AC9" s="27"/>
      <c r="AD9" s="27"/>
      <c r="AE9" s="27"/>
      <c r="AF9" s="27"/>
      <c r="AG9" s="27"/>
      <c r="AH9" s="27"/>
      <c r="AI9" s="27"/>
      <c r="AJ9" s="27"/>
      <c r="AK9" s="27"/>
      <c r="AL9" s="27"/>
      <c r="AM9" s="27"/>
      <c r="AN9" s="27"/>
      <c r="AO9" s="27"/>
      <c r="AP9" s="27"/>
      <c r="AQ9" s="27"/>
      <c r="AR9" s="27"/>
      <c r="AS9" s="27"/>
      <c r="AT9" s="27"/>
      <c r="AU9" s="27"/>
      <c r="AV9" s="27"/>
      <c r="AW9" s="27"/>
      <c r="AX9" s="27"/>
    </row>
    <row r="10" spans="1:50" ht="22.5" customHeight="1">
      <c r="A10" s="28" t="s">
        <v>227</v>
      </c>
      <c r="B10" s="37" t="s">
        <v>191</v>
      </c>
      <c r="C10" s="37" t="s">
        <v>922</v>
      </c>
      <c r="D10" s="37" t="s">
        <v>72</v>
      </c>
      <c r="E10" s="37" t="s">
        <v>959</v>
      </c>
      <c r="F10" s="37"/>
      <c r="G10" s="37" t="s">
        <v>229</v>
      </c>
      <c r="H10" s="37"/>
      <c r="I10" s="37" t="s">
        <v>924</v>
      </c>
      <c r="J10" s="37" t="s">
        <v>932</v>
      </c>
      <c r="K10" s="37" t="s">
        <v>932</v>
      </c>
      <c r="L10" s="37" t="s">
        <v>188</v>
      </c>
      <c r="M10" s="37" t="s">
        <v>188</v>
      </c>
      <c r="N10" s="37" t="s">
        <v>57</v>
      </c>
      <c r="O10" s="37" t="s">
        <v>189</v>
      </c>
      <c r="P10" s="37" t="s">
        <v>189</v>
      </c>
      <c r="Q10" s="37" t="s">
        <v>57</v>
      </c>
      <c r="R10" s="39" t="s">
        <v>927</v>
      </c>
      <c r="S10" s="37" t="s">
        <v>953</v>
      </c>
      <c r="T10" s="39" t="s">
        <v>888</v>
      </c>
      <c r="U10" s="37" t="str">
        <f t="shared" si="0"/>
        <v>None</v>
      </c>
      <c r="V10" s="37" t="s">
        <v>937</v>
      </c>
      <c r="W10" s="37" t="s">
        <v>888</v>
      </c>
      <c r="X10" s="37" t="s">
        <v>888</v>
      </c>
      <c r="Y10" s="37" t="s">
        <v>960</v>
      </c>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row>
    <row r="11" spans="1:50" ht="22.5" customHeight="1">
      <c r="A11" s="28" t="s">
        <v>235</v>
      </c>
      <c r="B11" s="37" t="s">
        <v>178</v>
      </c>
      <c r="C11" s="37" t="s">
        <v>922</v>
      </c>
      <c r="D11" s="37" t="s">
        <v>72</v>
      </c>
      <c r="E11" s="37" t="s">
        <v>239</v>
      </c>
      <c r="F11" s="37"/>
      <c r="G11" s="37">
        <v>45</v>
      </c>
      <c r="H11" s="37"/>
      <c r="I11" s="37" t="s">
        <v>924</v>
      </c>
      <c r="J11" s="37" t="s">
        <v>932</v>
      </c>
      <c r="K11" s="37" t="s">
        <v>932</v>
      </c>
      <c r="L11" s="37" t="s">
        <v>159</v>
      </c>
      <c r="M11" s="37" t="s">
        <v>159</v>
      </c>
      <c r="N11" s="37" t="s">
        <v>57</v>
      </c>
      <c r="O11" s="37" t="s">
        <v>160</v>
      </c>
      <c r="P11" s="37" t="s">
        <v>160</v>
      </c>
      <c r="Q11" s="37" t="s">
        <v>57</v>
      </c>
      <c r="R11" s="39" t="s">
        <v>927</v>
      </c>
      <c r="S11" s="37" t="s">
        <v>953</v>
      </c>
      <c r="T11" s="37" t="s">
        <v>961</v>
      </c>
      <c r="U11" s="37" t="str">
        <f t="shared" si="0"/>
        <v>None</v>
      </c>
      <c r="V11" s="37" t="s">
        <v>937</v>
      </c>
      <c r="W11" s="37" t="s">
        <v>888</v>
      </c>
      <c r="X11" s="37" t="s">
        <v>888</v>
      </c>
      <c r="Y11" s="37" t="s">
        <v>962</v>
      </c>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row>
    <row r="12" spans="1:50" ht="22.5" customHeight="1">
      <c r="A12" s="28" t="s">
        <v>242</v>
      </c>
      <c r="B12" s="37" t="s">
        <v>178</v>
      </c>
      <c r="C12" s="37" t="s">
        <v>922</v>
      </c>
      <c r="D12" s="37" t="s">
        <v>72</v>
      </c>
      <c r="E12" s="37" t="s">
        <v>246</v>
      </c>
      <c r="F12" s="37"/>
      <c r="G12" s="26">
        <v>46113</v>
      </c>
      <c r="H12" s="37"/>
      <c r="I12" s="37" t="s">
        <v>924</v>
      </c>
      <c r="J12" s="37" t="s">
        <v>932</v>
      </c>
      <c r="K12" s="37" t="s">
        <v>932</v>
      </c>
      <c r="L12" s="37" t="s">
        <v>159</v>
      </c>
      <c r="M12" s="37" t="s">
        <v>159</v>
      </c>
      <c r="N12" s="37" t="s">
        <v>57</v>
      </c>
      <c r="O12" s="37" t="s">
        <v>160</v>
      </c>
      <c r="P12" s="37" t="s">
        <v>160</v>
      </c>
      <c r="Q12" s="37" t="s">
        <v>57</v>
      </c>
      <c r="R12" s="39" t="s">
        <v>927</v>
      </c>
      <c r="S12" s="37" t="s">
        <v>953</v>
      </c>
      <c r="T12" s="37" t="s">
        <v>888</v>
      </c>
      <c r="U12" s="37" t="str">
        <f t="shared" si="0"/>
        <v>None</v>
      </c>
      <c r="V12" s="37" t="s">
        <v>937</v>
      </c>
      <c r="W12" s="37" t="s">
        <v>888</v>
      </c>
      <c r="X12" s="37" t="s">
        <v>888</v>
      </c>
      <c r="Y12" s="37" t="s">
        <v>963</v>
      </c>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row>
    <row r="13" spans="1:50" ht="22.5" customHeight="1">
      <c r="A13" s="28" t="s">
        <v>249</v>
      </c>
      <c r="B13" s="37" t="s">
        <v>255</v>
      </c>
      <c r="C13" s="37" t="s">
        <v>922</v>
      </c>
      <c r="D13" s="37" t="s">
        <v>72</v>
      </c>
      <c r="E13" s="37" t="s">
        <v>964</v>
      </c>
      <c r="F13" s="37"/>
      <c r="G13" s="37" t="s">
        <v>214</v>
      </c>
      <c r="H13" s="37"/>
      <c r="I13" s="37" t="s">
        <v>924</v>
      </c>
      <c r="J13" s="37" t="s">
        <v>932</v>
      </c>
      <c r="K13" s="37" t="s">
        <v>932</v>
      </c>
      <c r="L13" s="37" t="s">
        <v>252</v>
      </c>
      <c r="M13" s="37" t="s">
        <v>252</v>
      </c>
      <c r="N13" s="37" t="s">
        <v>57</v>
      </c>
      <c r="O13" s="37" t="s">
        <v>253</v>
      </c>
      <c r="P13" s="37" t="s">
        <v>253</v>
      </c>
      <c r="Q13" s="37" t="s">
        <v>57</v>
      </c>
      <c r="R13" s="39" t="s">
        <v>927</v>
      </c>
      <c r="S13" s="37" t="s">
        <v>953</v>
      </c>
      <c r="T13" s="37" t="s">
        <v>888</v>
      </c>
      <c r="U13" s="37" t="str">
        <f t="shared" si="0"/>
        <v>None</v>
      </c>
      <c r="V13" s="37" t="s">
        <v>937</v>
      </c>
      <c r="W13" s="37" t="s">
        <v>888</v>
      </c>
      <c r="X13" s="37" t="s">
        <v>888</v>
      </c>
      <c r="Y13" s="37" t="s">
        <v>965</v>
      </c>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row>
    <row r="14" spans="1:50" ht="22.5" customHeight="1">
      <c r="A14" s="28" t="s">
        <v>261</v>
      </c>
      <c r="B14" s="37" t="s">
        <v>266</v>
      </c>
      <c r="C14" s="37" t="s">
        <v>922</v>
      </c>
      <c r="D14" s="37" t="s">
        <v>72</v>
      </c>
      <c r="E14" s="37" t="s">
        <v>966</v>
      </c>
      <c r="F14" s="37"/>
      <c r="G14" s="37" t="s">
        <v>263</v>
      </c>
      <c r="H14" s="37"/>
      <c r="I14" s="37" t="s">
        <v>924</v>
      </c>
      <c r="J14" s="37" t="s">
        <v>925</v>
      </c>
      <c r="K14" s="37" t="s">
        <v>932</v>
      </c>
      <c r="L14" s="37" t="s">
        <v>252</v>
      </c>
      <c r="M14" s="37" t="s">
        <v>252</v>
      </c>
      <c r="N14" s="37" t="s">
        <v>57</v>
      </c>
      <c r="O14" s="37" t="s">
        <v>253</v>
      </c>
      <c r="P14" s="37" t="s">
        <v>253</v>
      </c>
      <c r="Q14" s="37" t="s">
        <v>57</v>
      </c>
      <c r="R14" s="39" t="s">
        <v>927</v>
      </c>
      <c r="S14" s="37" t="s">
        <v>967</v>
      </c>
      <c r="T14" s="37" t="s">
        <v>929</v>
      </c>
      <c r="U14" s="37" t="str">
        <f t="shared" si="0"/>
        <v>Extraction</v>
      </c>
      <c r="V14" s="37" t="s">
        <v>968</v>
      </c>
      <c r="W14" s="37" t="s">
        <v>72</v>
      </c>
      <c r="X14" s="37" t="s">
        <v>76</v>
      </c>
      <c r="Y14" s="37" t="s">
        <v>969</v>
      </c>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row>
    <row r="15" spans="1:50" ht="22.5" customHeight="1">
      <c r="A15" s="28" t="s">
        <v>271</v>
      </c>
      <c r="B15" s="37" t="s">
        <v>970</v>
      </c>
      <c r="C15" s="37" t="s">
        <v>922</v>
      </c>
      <c r="D15" s="37" t="s">
        <v>72</v>
      </c>
      <c r="E15" s="37" t="s">
        <v>971</v>
      </c>
      <c r="F15" s="37">
        <v>2</v>
      </c>
      <c r="G15" s="37" t="s">
        <v>273</v>
      </c>
      <c r="H15" s="37">
        <v>1</v>
      </c>
      <c r="I15" s="37" t="s">
        <v>924</v>
      </c>
      <c r="J15" s="37" t="s">
        <v>972</v>
      </c>
      <c r="K15" s="37" t="s">
        <v>972</v>
      </c>
      <c r="L15" s="37" t="s">
        <v>252</v>
      </c>
      <c r="M15" s="37" t="s">
        <v>252</v>
      </c>
      <c r="N15" s="37" t="s">
        <v>57</v>
      </c>
      <c r="O15" s="37" t="s">
        <v>253</v>
      </c>
      <c r="P15" s="37" t="s">
        <v>253</v>
      </c>
      <c r="Q15" s="37" t="s">
        <v>57</v>
      </c>
      <c r="R15" s="39" t="s">
        <v>927</v>
      </c>
      <c r="S15" s="37" t="s">
        <v>973</v>
      </c>
      <c r="T15" s="37" t="s">
        <v>929</v>
      </c>
      <c r="U15" s="37" t="str">
        <f t="shared" si="0"/>
        <v>Extraction</v>
      </c>
      <c r="V15" s="37" t="s">
        <v>974</v>
      </c>
      <c r="W15" s="37" t="s">
        <v>72</v>
      </c>
      <c r="X15" s="37" t="s">
        <v>76</v>
      </c>
      <c r="Y15" s="37" t="s">
        <v>975</v>
      </c>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row>
    <row r="16" spans="1:50" ht="22.5" customHeight="1">
      <c r="A16" s="28" t="s">
        <v>281</v>
      </c>
      <c r="B16" s="37" t="s">
        <v>286</v>
      </c>
      <c r="C16" s="37" t="s">
        <v>939</v>
      </c>
      <c r="D16" s="37" t="s">
        <v>72</v>
      </c>
      <c r="E16" s="37" t="s">
        <v>976</v>
      </c>
      <c r="F16" s="37">
        <v>2</v>
      </c>
      <c r="G16" s="37" t="s">
        <v>283</v>
      </c>
      <c r="H16" s="37">
        <v>4</v>
      </c>
      <c r="I16" s="37" t="s">
        <v>924</v>
      </c>
      <c r="J16" s="37" t="s">
        <v>977</v>
      </c>
      <c r="K16" s="37" t="s">
        <v>978</v>
      </c>
      <c r="L16" s="37" t="s">
        <v>252</v>
      </c>
      <c r="M16" s="37" t="s">
        <v>252</v>
      </c>
      <c r="N16" s="37" t="s">
        <v>57</v>
      </c>
      <c r="O16" s="37" t="s">
        <v>253</v>
      </c>
      <c r="P16" s="37" t="s">
        <v>253</v>
      </c>
      <c r="Q16" s="37" t="s">
        <v>57</v>
      </c>
      <c r="R16" s="39" t="s">
        <v>927</v>
      </c>
      <c r="S16" s="37" t="s">
        <v>979</v>
      </c>
      <c r="T16" s="37" t="s">
        <v>929</v>
      </c>
      <c r="U16" s="37" t="str">
        <f t="shared" si="0"/>
        <v>Extraction</v>
      </c>
      <c r="V16" s="37" t="s">
        <v>980</v>
      </c>
      <c r="W16" s="37" t="s">
        <v>72</v>
      </c>
      <c r="X16" s="37" t="s">
        <v>72</v>
      </c>
      <c r="Y16" s="37" t="s">
        <v>981</v>
      </c>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row>
    <row r="17" spans="1:50" ht="22.5" customHeight="1">
      <c r="A17" s="28" t="s">
        <v>291</v>
      </c>
      <c r="B17" s="37" t="s">
        <v>295</v>
      </c>
      <c r="C17" s="37" t="s">
        <v>922</v>
      </c>
      <c r="D17" s="37" t="s">
        <v>72</v>
      </c>
      <c r="E17" s="37" t="s">
        <v>297</v>
      </c>
      <c r="F17" s="37">
        <v>0</v>
      </c>
      <c r="G17" s="37" t="s">
        <v>214</v>
      </c>
      <c r="H17" s="37">
        <v>0</v>
      </c>
      <c r="I17" s="37" t="s">
        <v>924</v>
      </c>
      <c r="J17" s="39" t="s">
        <v>982</v>
      </c>
      <c r="K17" s="39" t="s">
        <v>983</v>
      </c>
      <c r="L17" s="37" t="s">
        <v>252</v>
      </c>
      <c r="M17" s="37" t="s">
        <v>252</v>
      </c>
      <c r="N17" s="37" t="s">
        <v>57</v>
      </c>
      <c r="O17" s="37" t="s">
        <v>253</v>
      </c>
      <c r="P17" s="37" t="s">
        <v>253</v>
      </c>
      <c r="Q17" s="37" t="s">
        <v>57</v>
      </c>
      <c r="R17" s="39" t="s">
        <v>927</v>
      </c>
      <c r="S17" s="39" t="s">
        <v>953</v>
      </c>
      <c r="T17" s="37" t="s">
        <v>888</v>
      </c>
      <c r="U17" s="37" t="str">
        <f t="shared" si="0"/>
        <v>None</v>
      </c>
      <c r="V17" s="37" t="s">
        <v>937</v>
      </c>
      <c r="W17" s="37" t="s">
        <v>888</v>
      </c>
      <c r="X17" s="37" t="s">
        <v>888</v>
      </c>
      <c r="Y17" s="37" t="s">
        <v>984</v>
      </c>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row>
    <row r="18" spans="1:50" ht="22.5" customHeight="1">
      <c r="A18" s="28" t="s">
        <v>299</v>
      </c>
      <c r="B18" s="37" t="s">
        <v>985</v>
      </c>
      <c r="C18" s="37" t="s">
        <v>922</v>
      </c>
      <c r="D18" s="37" t="s">
        <v>72</v>
      </c>
      <c r="E18" s="37" t="s">
        <v>986</v>
      </c>
      <c r="F18" s="37">
        <v>1</v>
      </c>
      <c r="G18" s="37" t="s">
        <v>301</v>
      </c>
      <c r="H18" s="37">
        <v>1</v>
      </c>
      <c r="I18" s="37" t="s">
        <v>924</v>
      </c>
      <c r="J18" s="37" t="s">
        <v>982</v>
      </c>
      <c r="K18" s="37" t="s">
        <v>983</v>
      </c>
      <c r="L18" s="37" t="s">
        <v>252</v>
      </c>
      <c r="M18" s="37" t="s">
        <v>252</v>
      </c>
      <c r="N18" s="37" t="s">
        <v>57</v>
      </c>
      <c r="O18" s="37" t="s">
        <v>253</v>
      </c>
      <c r="P18" s="37" t="s">
        <v>253</v>
      </c>
      <c r="Q18" s="37" t="s">
        <v>57</v>
      </c>
      <c r="R18" s="37" t="s">
        <v>927</v>
      </c>
      <c r="S18" s="37" t="s">
        <v>953</v>
      </c>
      <c r="T18" s="37" t="s">
        <v>888</v>
      </c>
      <c r="U18" s="37" t="str">
        <f t="shared" si="0"/>
        <v>None</v>
      </c>
      <c r="V18" s="37" t="s">
        <v>937</v>
      </c>
      <c r="W18" s="37" t="s">
        <v>888</v>
      </c>
      <c r="X18" s="37" t="s">
        <v>888</v>
      </c>
      <c r="Y18" s="37" t="s">
        <v>987</v>
      </c>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row>
    <row r="19" spans="1:50" ht="22.5" customHeight="1">
      <c r="A19" s="28" t="s">
        <v>309</v>
      </c>
      <c r="B19" s="37" t="s">
        <v>970</v>
      </c>
      <c r="C19" s="37" t="s">
        <v>922</v>
      </c>
      <c r="D19" s="37" t="s">
        <v>72</v>
      </c>
      <c r="E19" s="37" t="s">
        <v>988</v>
      </c>
      <c r="F19" s="37">
        <v>2</v>
      </c>
      <c r="G19" s="37" t="s">
        <v>311</v>
      </c>
      <c r="H19" s="37">
        <v>1</v>
      </c>
      <c r="I19" s="37" t="s">
        <v>924</v>
      </c>
      <c r="J19" s="37" t="s">
        <v>972</v>
      </c>
      <c r="K19" s="37" t="s">
        <v>972</v>
      </c>
      <c r="L19" s="37" t="s">
        <v>252</v>
      </c>
      <c r="M19" s="37" t="s">
        <v>252</v>
      </c>
      <c r="N19" s="37" t="s">
        <v>57</v>
      </c>
      <c r="O19" s="37" t="s">
        <v>253</v>
      </c>
      <c r="P19" s="37" t="s">
        <v>253</v>
      </c>
      <c r="Q19" s="37" t="s">
        <v>57</v>
      </c>
      <c r="R19" s="37" t="s">
        <v>989</v>
      </c>
      <c r="S19" s="37" t="s">
        <v>895</v>
      </c>
      <c r="T19" s="37" t="s">
        <v>63</v>
      </c>
      <c r="U19" s="37" t="str">
        <f t="shared" si="0"/>
        <v>Retrieval</v>
      </c>
      <c r="V19" s="37" t="s">
        <v>990</v>
      </c>
      <c r="W19" s="37" t="s">
        <v>72</v>
      </c>
      <c r="X19" s="37" t="s">
        <v>76</v>
      </c>
      <c r="Y19" s="37" t="s">
        <v>991</v>
      </c>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row>
    <row r="20" spans="1:50" ht="22.5" customHeight="1">
      <c r="A20" s="28" t="s">
        <v>317</v>
      </c>
      <c r="B20" s="37" t="s">
        <v>266</v>
      </c>
      <c r="C20" s="37" t="s">
        <v>922</v>
      </c>
      <c r="D20" s="37" t="s">
        <v>72</v>
      </c>
      <c r="E20" s="37" t="s">
        <v>992</v>
      </c>
      <c r="F20" s="37">
        <v>2</v>
      </c>
      <c r="G20" s="37" t="s">
        <v>319</v>
      </c>
      <c r="H20" s="37">
        <v>2</v>
      </c>
      <c r="I20" s="37" t="s">
        <v>924</v>
      </c>
      <c r="J20" s="37" t="s">
        <v>982</v>
      </c>
      <c r="K20" s="37" t="s">
        <v>983</v>
      </c>
      <c r="L20" s="37" t="s">
        <v>252</v>
      </c>
      <c r="M20" s="37" t="s">
        <v>252</v>
      </c>
      <c r="N20" s="37" t="s">
        <v>57</v>
      </c>
      <c r="O20" s="37" t="s">
        <v>253</v>
      </c>
      <c r="P20" s="37" t="s">
        <v>253</v>
      </c>
      <c r="Q20" s="37" t="s">
        <v>57</v>
      </c>
      <c r="R20" s="37" t="s">
        <v>927</v>
      </c>
      <c r="S20" s="37" t="s">
        <v>953</v>
      </c>
      <c r="T20" s="37" t="s">
        <v>888</v>
      </c>
      <c r="U20" s="37" t="str">
        <f t="shared" si="0"/>
        <v>None</v>
      </c>
      <c r="V20" s="37" t="s">
        <v>993</v>
      </c>
      <c r="W20" s="39" t="s">
        <v>888</v>
      </c>
      <c r="X20" s="37" t="s">
        <v>888</v>
      </c>
      <c r="Y20" s="37" t="s">
        <v>994</v>
      </c>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row>
    <row r="21" spans="1:50" ht="22.5" customHeight="1">
      <c r="A21" s="28" t="s">
        <v>326</v>
      </c>
      <c r="B21" s="37" t="s">
        <v>255</v>
      </c>
      <c r="C21" s="37" t="s">
        <v>922</v>
      </c>
      <c r="D21" s="37" t="s">
        <v>72</v>
      </c>
      <c r="E21" s="37" t="s">
        <v>331</v>
      </c>
      <c r="F21" s="37">
        <v>1</v>
      </c>
      <c r="G21" s="37" t="s">
        <v>328</v>
      </c>
      <c r="H21" s="37">
        <v>0</v>
      </c>
      <c r="I21" s="37" t="s">
        <v>924</v>
      </c>
      <c r="J21" s="37" t="s">
        <v>972</v>
      </c>
      <c r="K21" s="37" t="s">
        <v>983</v>
      </c>
      <c r="L21" s="37" t="s">
        <v>252</v>
      </c>
      <c r="M21" s="37" t="s">
        <v>252</v>
      </c>
      <c r="N21" s="37" t="s">
        <v>57</v>
      </c>
      <c r="O21" s="37" t="s">
        <v>253</v>
      </c>
      <c r="P21" s="37" t="s">
        <v>253</v>
      </c>
      <c r="Q21" s="37" t="s">
        <v>57</v>
      </c>
      <c r="R21" s="37" t="s">
        <v>927</v>
      </c>
      <c r="S21" s="37" t="s">
        <v>979</v>
      </c>
      <c r="T21" s="37" t="s">
        <v>929</v>
      </c>
      <c r="U21" s="37" t="str">
        <f t="shared" si="0"/>
        <v>Extraction</v>
      </c>
      <c r="V21" s="37" t="s">
        <v>995</v>
      </c>
      <c r="W21" s="37" t="s">
        <v>72</v>
      </c>
      <c r="X21" s="37" t="s">
        <v>72</v>
      </c>
      <c r="Y21" s="37" t="s">
        <v>996</v>
      </c>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row>
    <row r="22" spans="1:50" ht="22.5" customHeight="1">
      <c r="A22" s="28" t="s">
        <v>334</v>
      </c>
      <c r="B22" s="37" t="s">
        <v>266</v>
      </c>
      <c r="C22" s="37" t="s">
        <v>922</v>
      </c>
      <c r="D22" s="37" t="s">
        <v>72</v>
      </c>
      <c r="E22" s="37" t="s">
        <v>997</v>
      </c>
      <c r="F22" s="37">
        <v>2</v>
      </c>
      <c r="G22" s="37">
        <v>5</v>
      </c>
      <c r="H22" s="37">
        <v>1</v>
      </c>
      <c r="I22" s="37" t="s">
        <v>924</v>
      </c>
      <c r="J22" s="37" t="s">
        <v>972</v>
      </c>
      <c r="K22" s="37" t="s">
        <v>972</v>
      </c>
      <c r="L22" s="37" t="s">
        <v>252</v>
      </c>
      <c r="M22" s="37" t="s">
        <v>252</v>
      </c>
      <c r="N22" s="37" t="s">
        <v>57</v>
      </c>
      <c r="O22" s="37" t="s">
        <v>253</v>
      </c>
      <c r="P22" s="37" t="s">
        <v>253</v>
      </c>
      <c r="Q22" s="37" t="s">
        <v>57</v>
      </c>
      <c r="R22" s="37" t="s">
        <v>989</v>
      </c>
      <c r="S22" s="37" t="s">
        <v>895</v>
      </c>
      <c r="T22" s="37" t="s">
        <v>63</v>
      </c>
      <c r="U22" s="37" t="str">
        <f t="shared" si="0"/>
        <v>Retrieval</v>
      </c>
      <c r="V22" s="37" t="s">
        <v>998</v>
      </c>
      <c r="W22" s="37" t="s">
        <v>72</v>
      </c>
      <c r="X22" s="37" t="s">
        <v>76</v>
      </c>
      <c r="Y22" s="37" t="s">
        <v>999</v>
      </c>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row>
    <row r="23" spans="1:50" ht="22.5" customHeight="1">
      <c r="A23" s="28" t="s">
        <v>341</v>
      </c>
      <c r="B23" s="37" t="s">
        <v>266</v>
      </c>
      <c r="C23" s="37" t="s">
        <v>939</v>
      </c>
      <c r="D23" s="37" t="s">
        <v>72</v>
      </c>
      <c r="E23" s="37" t="s">
        <v>331</v>
      </c>
      <c r="F23" s="37">
        <v>1</v>
      </c>
      <c r="G23" s="37" t="s">
        <v>343</v>
      </c>
      <c r="H23" s="37">
        <v>0</v>
      </c>
      <c r="I23" s="37" t="s">
        <v>924</v>
      </c>
      <c r="J23" s="37" t="s">
        <v>972</v>
      </c>
      <c r="K23" s="37" t="s">
        <v>983</v>
      </c>
      <c r="L23" s="37" t="s">
        <v>252</v>
      </c>
      <c r="M23" s="37" t="s">
        <v>252</v>
      </c>
      <c r="N23" s="37" t="s">
        <v>57</v>
      </c>
      <c r="O23" s="37" t="s">
        <v>253</v>
      </c>
      <c r="P23" s="37" t="s">
        <v>253</v>
      </c>
      <c r="Q23" s="37" t="s">
        <v>57</v>
      </c>
      <c r="R23" s="37" t="s">
        <v>927</v>
      </c>
      <c r="S23" s="37" t="s">
        <v>979</v>
      </c>
      <c r="T23" s="37" t="s">
        <v>929</v>
      </c>
      <c r="U23" s="37" t="str">
        <f t="shared" si="0"/>
        <v>Extraction</v>
      </c>
      <c r="V23" s="37" t="s">
        <v>1000</v>
      </c>
      <c r="W23" s="37" t="s">
        <v>72</v>
      </c>
      <c r="X23" s="37" t="s">
        <v>72</v>
      </c>
      <c r="Y23" s="37" t="s">
        <v>1001</v>
      </c>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row>
    <row r="24" spans="1:50" ht="22.5" customHeight="1">
      <c r="A24" s="28" t="s">
        <v>348</v>
      </c>
      <c r="B24" s="37" t="s">
        <v>1002</v>
      </c>
      <c r="C24" s="37" t="s">
        <v>922</v>
      </c>
      <c r="D24" s="37" t="s">
        <v>72</v>
      </c>
      <c r="E24" s="37" t="s">
        <v>1003</v>
      </c>
      <c r="F24" s="37">
        <v>6</v>
      </c>
      <c r="G24" s="37" t="s">
        <v>350</v>
      </c>
      <c r="H24" s="37">
        <v>6</v>
      </c>
      <c r="I24" s="37" t="s">
        <v>924</v>
      </c>
      <c r="J24" s="37" t="s">
        <v>972</v>
      </c>
      <c r="K24" s="37" t="s">
        <v>983</v>
      </c>
      <c r="L24" s="37" t="s">
        <v>252</v>
      </c>
      <c r="M24" s="37" t="s">
        <v>252</v>
      </c>
      <c r="N24" s="37" t="s">
        <v>57</v>
      </c>
      <c r="O24" s="37" t="s">
        <v>253</v>
      </c>
      <c r="P24" s="37" t="s">
        <v>253</v>
      </c>
      <c r="Q24" s="37" t="s">
        <v>57</v>
      </c>
      <c r="R24" s="37" t="s">
        <v>927</v>
      </c>
      <c r="S24" s="37" t="s">
        <v>1004</v>
      </c>
      <c r="T24" s="37" t="s">
        <v>1005</v>
      </c>
      <c r="U24" s="37" t="str">
        <f t="shared" si="0"/>
        <v>Retrieval</v>
      </c>
      <c r="V24" s="37" t="s">
        <v>1006</v>
      </c>
      <c r="W24" s="37" t="s">
        <v>133</v>
      </c>
      <c r="X24" s="37" t="s">
        <v>883</v>
      </c>
      <c r="Y24" s="37" t="s">
        <v>1007</v>
      </c>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row>
    <row r="25" spans="1:50" ht="22.5" customHeight="1">
      <c r="A25" s="28" t="s">
        <v>357</v>
      </c>
      <c r="B25" s="37" t="s">
        <v>1008</v>
      </c>
      <c r="C25" s="37" t="s">
        <v>922</v>
      </c>
      <c r="D25" s="37" t="s">
        <v>72</v>
      </c>
      <c r="E25" s="37" t="s">
        <v>1009</v>
      </c>
      <c r="F25" s="37">
        <v>4</v>
      </c>
      <c r="G25" s="37" t="s">
        <v>359</v>
      </c>
      <c r="H25" s="37">
        <v>4</v>
      </c>
      <c r="I25" s="37" t="s">
        <v>924</v>
      </c>
      <c r="J25" s="37" t="s">
        <v>972</v>
      </c>
      <c r="K25" s="37" t="s">
        <v>983</v>
      </c>
      <c r="L25" s="37" t="s">
        <v>252</v>
      </c>
      <c r="M25" s="37" t="s">
        <v>252</v>
      </c>
      <c r="N25" s="37" t="s">
        <v>57</v>
      </c>
      <c r="O25" s="37" t="s">
        <v>253</v>
      </c>
      <c r="P25" s="37" t="s">
        <v>253</v>
      </c>
      <c r="Q25" s="37" t="s">
        <v>57</v>
      </c>
      <c r="R25" s="37" t="s">
        <v>927</v>
      </c>
      <c r="S25" s="37" t="s">
        <v>979</v>
      </c>
      <c r="T25" s="37" t="s">
        <v>929</v>
      </c>
      <c r="U25" s="37" t="str">
        <f t="shared" si="0"/>
        <v>Extraction</v>
      </c>
      <c r="V25" s="37" t="s">
        <v>1010</v>
      </c>
      <c r="W25" s="39" t="s">
        <v>887</v>
      </c>
      <c r="X25" s="39" t="s">
        <v>887</v>
      </c>
      <c r="Y25" s="37" t="s">
        <v>1011</v>
      </c>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row>
    <row r="26" spans="1:50" ht="22.5" customHeight="1">
      <c r="A26" s="28" t="s">
        <v>366</v>
      </c>
      <c r="B26" s="37" t="s">
        <v>1012</v>
      </c>
      <c r="C26" s="37" t="s">
        <v>922</v>
      </c>
      <c r="D26" s="37" t="s">
        <v>72</v>
      </c>
      <c r="E26" s="37" t="s">
        <v>1013</v>
      </c>
      <c r="F26" s="37">
        <v>2</v>
      </c>
      <c r="G26" s="37" t="s">
        <v>368</v>
      </c>
      <c r="H26" s="37">
        <v>2</v>
      </c>
      <c r="I26" s="37" t="s">
        <v>924</v>
      </c>
      <c r="J26" s="37" t="s">
        <v>982</v>
      </c>
      <c r="K26" s="37" t="s">
        <v>983</v>
      </c>
      <c r="L26" s="37" t="s">
        <v>252</v>
      </c>
      <c r="M26" s="37" t="s">
        <v>252</v>
      </c>
      <c r="N26" s="37" t="s">
        <v>57</v>
      </c>
      <c r="O26" s="37" t="s">
        <v>253</v>
      </c>
      <c r="P26" s="37" t="s">
        <v>253</v>
      </c>
      <c r="Q26" s="37" t="s">
        <v>57</v>
      </c>
      <c r="R26" s="37" t="s">
        <v>927</v>
      </c>
      <c r="S26" s="37" t="s">
        <v>953</v>
      </c>
      <c r="T26" s="37" t="s">
        <v>888</v>
      </c>
      <c r="U26" s="37" t="str">
        <f t="shared" si="0"/>
        <v>None</v>
      </c>
      <c r="V26" s="37" t="s">
        <v>1014</v>
      </c>
      <c r="W26" s="39" t="s">
        <v>888</v>
      </c>
      <c r="X26" s="39" t="s">
        <v>888</v>
      </c>
      <c r="Y26" s="37" t="s">
        <v>1015</v>
      </c>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row>
    <row r="27" spans="1:50" ht="22.5" customHeight="1">
      <c r="A27" s="28" t="s">
        <v>376</v>
      </c>
      <c r="B27" s="37" t="s">
        <v>1012</v>
      </c>
      <c r="C27" s="37" t="s">
        <v>939</v>
      </c>
      <c r="D27" s="37" t="s">
        <v>72</v>
      </c>
      <c r="E27" s="37" t="s">
        <v>1016</v>
      </c>
      <c r="F27" s="37">
        <v>1</v>
      </c>
      <c r="G27" s="37" t="s">
        <v>378</v>
      </c>
      <c r="H27" s="37">
        <v>1</v>
      </c>
      <c r="I27" s="37" t="s">
        <v>924</v>
      </c>
      <c r="J27" s="37" t="s">
        <v>982</v>
      </c>
      <c r="K27" s="37" t="s">
        <v>983</v>
      </c>
      <c r="L27" s="37" t="s">
        <v>252</v>
      </c>
      <c r="M27" s="37" t="s">
        <v>252</v>
      </c>
      <c r="N27" s="37" t="s">
        <v>57</v>
      </c>
      <c r="O27" s="37" t="s">
        <v>253</v>
      </c>
      <c r="P27" s="37" t="s">
        <v>253</v>
      </c>
      <c r="Q27" s="37" t="s">
        <v>57</v>
      </c>
      <c r="R27" s="37" t="s">
        <v>927</v>
      </c>
      <c r="S27" s="37" t="s">
        <v>953</v>
      </c>
      <c r="T27" s="37" t="s">
        <v>888</v>
      </c>
      <c r="U27" s="37" t="str">
        <f t="shared" si="0"/>
        <v>None</v>
      </c>
      <c r="V27" s="37" t="s">
        <v>1014</v>
      </c>
      <c r="W27" s="39" t="s">
        <v>888</v>
      </c>
      <c r="X27" s="39" t="s">
        <v>888</v>
      </c>
      <c r="Y27" s="37" t="s">
        <v>1017</v>
      </c>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row>
    <row r="28" spans="1:50" ht="22.5" customHeight="1">
      <c r="A28" s="28" t="s">
        <v>384</v>
      </c>
      <c r="B28" s="37" t="s">
        <v>389</v>
      </c>
      <c r="C28" s="37" t="s">
        <v>922</v>
      </c>
      <c r="D28" s="37" t="s">
        <v>72</v>
      </c>
      <c r="E28" s="37" t="s">
        <v>1018</v>
      </c>
      <c r="F28" s="37">
        <v>3</v>
      </c>
      <c r="G28" s="37" t="s">
        <v>386</v>
      </c>
      <c r="H28" s="37">
        <v>2</v>
      </c>
      <c r="I28" s="37" t="s">
        <v>924</v>
      </c>
      <c r="J28" s="37" t="s">
        <v>972</v>
      </c>
      <c r="K28" s="37" t="s">
        <v>972</v>
      </c>
      <c r="L28" s="37" t="s">
        <v>252</v>
      </c>
      <c r="M28" s="37" t="s">
        <v>252</v>
      </c>
      <c r="N28" s="37" t="s">
        <v>57</v>
      </c>
      <c r="O28" s="37" t="s">
        <v>253</v>
      </c>
      <c r="P28" s="37" t="s">
        <v>253</v>
      </c>
      <c r="Q28" s="37" t="s">
        <v>57</v>
      </c>
      <c r="R28" s="37" t="s">
        <v>1019</v>
      </c>
      <c r="S28" s="37" t="s">
        <v>1020</v>
      </c>
      <c r="T28" s="37" t="s">
        <v>942</v>
      </c>
      <c r="U28" s="37" t="str">
        <f t="shared" si="0"/>
        <v>Retrieval</v>
      </c>
      <c r="V28" s="37" t="s">
        <v>1021</v>
      </c>
      <c r="W28" s="37" t="s">
        <v>72</v>
      </c>
      <c r="X28" s="37" t="s">
        <v>76</v>
      </c>
      <c r="Y28" s="37" t="s">
        <v>1022</v>
      </c>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row>
    <row r="29" spans="1:50" ht="22.5" customHeight="1">
      <c r="A29" s="28" t="s">
        <v>394</v>
      </c>
      <c r="B29" s="37" t="s">
        <v>399</v>
      </c>
      <c r="C29" s="37" t="s">
        <v>939</v>
      </c>
      <c r="D29" s="37" t="s">
        <v>72</v>
      </c>
      <c r="E29" s="37" t="s">
        <v>1023</v>
      </c>
      <c r="F29" s="37">
        <v>2</v>
      </c>
      <c r="G29" s="37" t="s">
        <v>396</v>
      </c>
      <c r="H29" s="37">
        <v>2</v>
      </c>
      <c r="I29" s="37" t="s">
        <v>924</v>
      </c>
      <c r="J29" s="37" t="s">
        <v>982</v>
      </c>
      <c r="K29" s="37" t="s">
        <v>983</v>
      </c>
      <c r="L29" s="37" t="s">
        <v>252</v>
      </c>
      <c r="M29" s="37" t="s">
        <v>252</v>
      </c>
      <c r="N29" s="37" t="s">
        <v>57</v>
      </c>
      <c r="O29" s="37" t="s">
        <v>253</v>
      </c>
      <c r="P29" s="37" t="s">
        <v>253</v>
      </c>
      <c r="Q29" s="37" t="s">
        <v>57</v>
      </c>
      <c r="R29" s="37" t="s">
        <v>927</v>
      </c>
      <c r="S29" s="37" t="s">
        <v>953</v>
      </c>
      <c r="T29" s="37" t="s">
        <v>888</v>
      </c>
      <c r="U29" s="37" t="str">
        <f t="shared" si="0"/>
        <v>None</v>
      </c>
      <c r="V29" s="37" t="s">
        <v>1024</v>
      </c>
      <c r="W29" s="39" t="s">
        <v>888</v>
      </c>
      <c r="X29" s="37" t="s">
        <v>888</v>
      </c>
      <c r="Y29" s="37" t="s">
        <v>1025</v>
      </c>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row>
    <row r="30" spans="1:50" ht="22.5" customHeight="1">
      <c r="A30" s="28" t="s">
        <v>404</v>
      </c>
      <c r="B30" s="37" t="s">
        <v>409</v>
      </c>
      <c r="C30" s="37" t="s">
        <v>922</v>
      </c>
      <c r="D30" s="37" t="s">
        <v>72</v>
      </c>
      <c r="E30" s="37" t="s">
        <v>1026</v>
      </c>
      <c r="F30" s="37">
        <v>2</v>
      </c>
      <c r="G30" s="37" t="s">
        <v>406</v>
      </c>
      <c r="H30" s="37">
        <v>1</v>
      </c>
      <c r="I30" s="37" t="s">
        <v>924</v>
      </c>
      <c r="J30" s="37" t="s">
        <v>972</v>
      </c>
      <c r="K30" s="37" t="s">
        <v>972</v>
      </c>
      <c r="L30" s="37" t="s">
        <v>408</v>
      </c>
      <c r="M30" s="37" t="s">
        <v>408</v>
      </c>
      <c r="N30" s="37" t="s">
        <v>57</v>
      </c>
      <c r="O30" s="37" t="s">
        <v>137</v>
      </c>
      <c r="P30" s="37" t="s">
        <v>137</v>
      </c>
      <c r="Q30" s="37" t="s">
        <v>57</v>
      </c>
      <c r="R30" s="37" t="s">
        <v>1027</v>
      </c>
      <c r="S30" s="37" t="s">
        <v>895</v>
      </c>
      <c r="T30" s="37" t="s">
        <v>63</v>
      </c>
      <c r="U30" s="37" t="str">
        <f t="shared" si="0"/>
        <v>Retrieval</v>
      </c>
      <c r="V30" s="37" t="s">
        <v>1028</v>
      </c>
      <c r="W30" s="37" t="s">
        <v>72</v>
      </c>
      <c r="X30" s="37" t="s">
        <v>76</v>
      </c>
      <c r="Y30" s="37" t="s">
        <v>1029</v>
      </c>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row>
    <row r="31" spans="1:50" ht="22.5" customHeight="1">
      <c r="A31" s="28" t="s">
        <v>414</v>
      </c>
      <c r="B31" s="37" t="s">
        <v>418</v>
      </c>
      <c r="C31" s="37" t="s">
        <v>939</v>
      </c>
      <c r="D31" s="37" t="s">
        <v>72</v>
      </c>
      <c r="E31" s="37" t="s">
        <v>1030</v>
      </c>
      <c r="F31" s="37">
        <v>2</v>
      </c>
      <c r="G31" s="37" t="s">
        <v>214</v>
      </c>
      <c r="H31" s="37">
        <v>0</v>
      </c>
      <c r="I31" s="37" t="s">
        <v>924</v>
      </c>
      <c r="J31" s="37" t="s">
        <v>195</v>
      </c>
      <c r="K31" s="37" t="s">
        <v>1031</v>
      </c>
      <c r="L31" s="37" t="s">
        <v>252</v>
      </c>
      <c r="M31" s="37" t="s">
        <v>252</v>
      </c>
      <c r="N31" s="37" t="s">
        <v>57</v>
      </c>
      <c r="O31" s="37" t="s">
        <v>253</v>
      </c>
      <c r="P31" s="37" t="s">
        <v>253</v>
      </c>
      <c r="Q31" s="37" t="s">
        <v>57</v>
      </c>
      <c r="R31" s="37" t="s">
        <v>1032</v>
      </c>
      <c r="S31" s="37" t="s">
        <v>894</v>
      </c>
      <c r="T31" s="37" t="s">
        <v>63</v>
      </c>
      <c r="U31" s="37" t="str">
        <f t="shared" si="0"/>
        <v>Retrieval</v>
      </c>
      <c r="V31" s="37" t="s">
        <v>1033</v>
      </c>
      <c r="W31" s="37" t="s">
        <v>133</v>
      </c>
      <c r="X31" s="37" t="s">
        <v>883</v>
      </c>
      <c r="Y31" s="37" t="s">
        <v>1034</v>
      </c>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row>
    <row r="32" spans="1:50" ht="22.5" customHeight="1">
      <c r="A32" s="28" t="s">
        <v>448</v>
      </c>
      <c r="B32" s="37" t="s">
        <v>178</v>
      </c>
      <c r="C32" s="37" t="s">
        <v>939</v>
      </c>
      <c r="D32" s="37" t="s">
        <v>72</v>
      </c>
      <c r="E32" s="37" t="s">
        <v>455</v>
      </c>
      <c r="F32" s="37">
        <v>0</v>
      </c>
      <c r="G32" s="37" t="s">
        <v>450</v>
      </c>
      <c r="H32" s="37">
        <v>7</v>
      </c>
      <c r="I32" s="37" t="s">
        <v>924</v>
      </c>
      <c r="J32" s="37" t="s">
        <v>457</v>
      </c>
      <c r="K32" s="37" t="s">
        <v>978</v>
      </c>
      <c r="L32" s="37" t="s">
        <v>452</v>
      </c>
      <c r="M32" s="37" t="s">
        <v>452</v>
      </c>
      <c r="N32" s="37" t="s">
        <v>57</v>
      </c>
      <c r="O32" s="37" t="s">
        <v>160</v>
      </c>
      <c r="P32" s="37" t="s">
        <v>160</v>
      </c>
      <c r="Q32" s="37" t="s">
        <v>57</v>
      </c>
      <c r="R32" s="37" t="s">
        <v>927</v>
      </c>
      <c r="S32" s="37" t="s">
        <v>1035</v>
      </c>
      <c r="T32" s="37" t="s">
        <v>888</v>
      </c>
      <c r="U32" s="37" t="str">
        <f t="shared" si="0"/>
        <v>None</v>
      </c>
      <c r="V32" s="37" t="s">
        <v>1036</v>
      </c>
      <c r="W32" s="37" t="s">
        <v>887</v>
      </c>
      <c r="X32" s="37" t="s">
        <v>887</v>
      </c>
      <c r="Y32" s="37" t="s">
        <v>1037</v>
      </c>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row>
    <row r="33" spans="1:50" ht="22.5" customHeight="1">
      <c r="A33" s="28" t="s">
        <v>459</v>
      </c>
      <c r="B33" s="37"/>
      <c r="C33" s="37"/>
      <c r="D33" s="37"/>
      <c r="E33" s="37"/>
      <c r="F33" s="37">
        <v>0</v>
      </c>
      <c r="G33" s="37" t="s">
        <v>461</v>
      </c>
      <c r="H33" s="37">
        <v>2</v>
      </c>
      <c r="I33" s="37" t="s">
        <v>924</v>
      </c>
      <c r="J33" s="37" t="s">
        <v>165</v>
      </c>
      <c r="K33" s="37" t="s">
        <v>978</v>
      </c>
      <c r="L33" s="37"/>
      <c r="M33" s="37" t="s">
        <v>463</v>
      </c>
      <c r="N33" s="37" t="s">
        <v>888</v>
      </c>
      <c r="O33" s="37"/>
      <c r="P33" s="37" t="s">
        <v>464</v>
      </c>
      <c r="Q33" s="37" t="s">
        <v>951</v>
      </c>
      <c r="R33" s="37" t="s">
        <v>927</v>
      </c>
      <c r="S33" s="37" t="s">
        <v>1035</v>
      </c>
      <c r="T33" s="37" t="s">
        <v>1035</v>
      </c>
      <c r="U33" s="37" t="str">
        <f t="shared" si="0"/>
        <v>everything else</v>
      </c>
      <c r="V33" s="37" t="s">
        <v>1038</v>
      </c>
      <c r="W33" s="37" t="s">
        <v>887</v>
      </c>
      <c r="X33" s="37" t="s">
        <v>887</v>
      </c>
      <c r="Y33" s="37" t="s">
        <v>1039</v>
      </c>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row>
    <row r="34" spans="1:50" ht="22.5" customHeight="1">
      <c r="A34" s="28" t="s">
        <v>469</v>
      </c>
      <c r="B34" s="37" t="s">
        <v>178</v>
      </c>
      <c r="C34" s="37" t="s">
        <v>922</v>
      </c>
      <c r="D34" s="37" t="s">
        <v>72</v>
      </c>
      <c r="E34" s="37" t="s">
        <v>1040</v>
      </c>
      <c r="F34" s="37">
        <v>11</v>
      </c>
      <c r="G34" s="37" t="s">
        <v>214</v>
      </c>
      <c r="H34" s="37">
        <v>0</v>
      </c>
      <c r="I34" s="37" t="s">
        <v>924</v>
      </c>
      <c r="J34" s="37" t="s">
        <v>195</v>
      </c>
      <c r="K34" s="37" t="s">
        <v>1031</v>
      </c>
      <c r="L34" s="37" t="s">
        <v>472</v>
      </c>
      <c r="M34" s="37" t="s">
        <v>472</v>
      </c>
      <c r="N34" s="37" t="s">
        <v>57</v>
      </c>
      <c r="O34" s="37" t="s">
        <v>473</v>
      </c>
      <c r="P34" s="37" t="s">
        <v>473</v>
      </c>
      <c r="Q34" s="37" t="s">
        <v>57</v>
      </c>
      <c r="R34" s="37" t="s">
        <v>1041</v>
      </c>
      <c r="S34" s="37" t="s">
        <v>894</v>
      </c>
      <c r="T34" s="37" t="s">
        <v>63</v>
      </c>
      <c r="U34" s="37" t="str">
        <f t="shared" si="0"/>
        <v>Retrieval</v>
      </c>
      <c r="V34" s="37" t="s">
        <v>1042</v>
      </c>
      <c r="W34" s="37" t="s">
        <v>133</v>
      </c>
      <c r="X34" s="37" t="s">
        <v>883</v>
      </c>
      <c r="Y34" s="37" t="s">
        <v>1043</v>
      </c>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row>
    <row r="35" spans="1:50" ht="22.5" customHeight="1">
      <c r="A35" s="28" t="s">
        <v>477</v>
      </c>
      <c r="B35" s="37" t="s">
        <v>178</v>
      </c>
      <c r="C35" s="37" t="s">
        <v>922</v>
      </c>
      <c r="D35" s="37" t="s">
        <v>72</v>
      </c>
      <c r="E35" s="37" t="s">
        <v>482</v>
      </c>
      <c r="F35" s="37">
        <v>1</v>
      </c>
      <c r="G35" s="37" t="s">
        <v>214</v>
      </c>
      <c r="H35" s="37">
        <v>0</v>
      </c>
      <c r="I35" s="37" t="s">
        <v>924</v>
      </c>
      <c r="J35" s="37" t="s">
        <v>195</v>
      </c>
      <c r="K35" s="37" t="s">
        <v>1031</v>
      </c>
      <c r="L35" s="37" t="s">
        <v>480</v>
      </c>
      <c r="M35" s="37" t="s">
        <v>480</v>
      </c>
      <c r="N35" s="37" t="s">
        <v>57</v>
      </c>
      <c r="O35" s="37" t="s">
        <v>160</v>
      </c>
      <c r="P35" s="37" t="s">
        <v>160</v>
      </c>
      <c r="Q35" s="37" t="s">
        <v>57</v>
      </c>
      <c r="R35" s="37" t="s">
        <v>1044</v>
      </c>
      <c r="S35" s="37" t="s">
        <v>894</v>
      </c>
      <c r="T35" s="37" t="s">
        <v>63</v>
      </c>
      <c r="U35" s="37" t="str">
        <f t="shared" si="0"/>
        <v>Retrieval</v>
      </c>
      <c r="V35" s="37" t="s">
        <v>1045</v>
      </c>
      <c r="W35" s="39" t="s">
        <v>133</v>
      </c>
      <c r="X35" s="37" t="s">
        <v>133</v>
      </c>
      <c r="Y35" s="37" t="s">
        <v>1046</v>
      </c>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row>
    <row r="36" spans="1:50" ht="22.5" customHeight="1">
      <c r="A36" s="28" t="s">
        <v>484</v>
      </c>
      <c r="B36" s="37" t="s">
        <v>178</v>
      </c>
      <c r="C36" s="37" t="s">
        <v>922</v>
      </c>
      <c r="D36" s="37" t="s">
        <v>72</v>
      </c>
      <c r="E36" s="37" t="s">
        <v>489</v>
      </c>
      <c r="F36" s="37">
        <v>1</v>
      </c>
      <c r="G36" s="37" t="s">
        <v>486</v>
      </c>
      <c r="H36" s="37">
        <v>2</v>
      </c>
      <c r="I36" s="37" t="s">
        <v>924</v>
      </c>
      <c r="J36" s="37" t="s">
        <v>972</v>
      </c>
      <c r="K36" s="37" t="s">
        <v>978</v>
      </c>
      <c r="L36" s="37" t="s">
        <v>136</v>
      </c>
      <c r="M36" s="37" t="s">
        <v>136</v>
      </c>
      <c r="N36" s="37" t="s">
        <v>57</v>
      </c>
      <c r="O36" s="37" t="s">
        <v>137</v>
      </c>
      <c r="P36" s="37" t="s">
        <v>137</v>
      </c>
      <c r="Q36" s="37" t="s">
        <v>57</v>
      </c>
      <c r="R36" s="37" t="s">
        <v>927</v>
      </c>
      <c r="S36" s="37" t="s">
        <v>1047</v>
      </c>
      <c r="T36" s="37" t="s">
        <v>1048</v>
      </c>
      <c r="U36" s="37" t="str">
        <f t="shared" si="0"/>
        <v>Extraction</v>
      </c>
      <c r="V36" s="37" t="s">
        <v>1049</v>
      </c>
      <c r="W36" s="37" t="s">
        <v>72</v>
      </c>
      <c r="X36" s="37" t="s">
        <v>72</v>
      </c>
      <c r="Y36" s="37" t="s">
        <v>1050</v>
      </c>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row>
    <row r="37" spans="1:50" ht="22.5" customHeight="1">
      <c r="A37" s="28" t="s">
        <v>492</v>
      </c>
      <c r="B37" s="37" t="s">
        <v>178</v>
      </c>
      <c r="C37" s="37" t="s">
        <v>939</v>
      </c>
      <c r="D37" s="37" t="s">
        <v>72</v>
      </c>
      <c r="E37" s="37" t="s">
        <v>1051</v>
      </c>
      <c r="F37" s="37">
        <v>1</v>
      </c>
      <c r="G37" s="37">
        <v>18</v>
      </c>
      <c r="H37" s="37">
        <v>1</v>
      </c>
      <c r="I37" s="37" t="s">
        <v>924</v>
      </c>
      <c r="J37" s="37" t="s">
        <v>195</v>
      </c>
      <c r="K37" s="37" t="s">
        <v>983</v>
      </c>
      <c r="L37" s="37" t="s">
        <v>495</v>
      </c>
      <c r="M37" s="37" t="s">
        <v>495</v>
      </c>
      <c r="N37" s="37" t="s">
        <v>57</v>
      </c>
      <c r="O37" s="37" t="s">
        <v>189</v>
      </c>
      <c r="P37" s="37" t="s">
        <v>189</v>
      </c>
      <c r="Q37" s="37" t="s">
        <v>57</v>
      </c>
      <c r="R37" s="37" t="s">
        <v>927</v>
      </c>
      <c r="S37" s="37" t="s">
        <v>1052</v>
      </c>
      <c r="T37" s="37" t="s">
        <v>70</v>
      </c>
      <c r="U37" s="37" t="str">
        <f t="shared" si="0"/>
        <v>Interpretation</v>
      </c>
      <c r="V37" s="37" t="s">
        <v>1053</v>
      </c>
      <c r="W37" s="37" t="s">
        <v>133</v>
      </c>
      <c r="X37" s="37" t="s">
        <v>883</v>
      </c>
      <c r="Y37" s="37" t="s">
        <v>1054</v>
      </c>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row>
    <row r="38" spans="1:50" ht="22.5" customHeight="1">
      <c r="A38" s="28" t="s">
        <v>500</v>
      </c>
      <c r="B38" s="37" t="s">
        <v>1055</v>
      </c>
      <c r="C38" s="37" t="s">
        <v>939</v>
      </c>
      <c r="D38" s="37" t="s">
        <v>72</v>
      </c>
      <c r="E38" s="37" t="s">
        <v>1056</v>
      </c>
      <c r="F38" s="37">
        <v>2</v>
      </c>
      <c r="G38" s="37" t="s">
        <v>502</v>
      </c>
      <c r="H38" s="37">
        <v>2</v>
      </c>
      <c r="I38" s="37" t="s">
        <v>924</v>
      </c>
      <c r="J38" s="37" t="s">
        <v>982</v>
      </c>
      <c r="K38" s="37" t="s">
        <v>983</v>
      </c>
      <c r="L38" s="37" t="s">
        <v>252</v>
      </c>
      <c r="M38" s="37" t="s">
        <v>252</v>
      </c>
      <c r="N38" s="37" t="s">
        <v>57</v>
      </c>
      <c r="O38" s="37" t="s">
        <v>253</v>
      </c>
      <c r="P38" s="37" t="s">
        <v>253</v>
      </c>
      <c r="Q38" s="37" t="s">
        <v>57</v>
      </c>
      <c r="R38" s="37" t="s">
        <v>927</v>
      </c>
      <c r="S38" s="37" t="s">
        <v>953</v>
      </c>
      <c r="T38" s="37" t="s">
        <v>888</v>
      </c>
      <c r="U38" s="37" t="str">
        <f t="shared" si="0"/>
        <v>None</v>
      </c>
      <c r="V38" s="37" t="s">
        <v>1057</v>
      </c>
      <c r="W38" s="37" t="s">
        <v>888</v>
      </c>
      <c r="X38" s="37" t="s">
        <v>888</v>
      </c>
      <c r="Y38" s="37" t="s">
        <v>1058</v>
      </c>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row>
    <row r="39" spans="1:50" ht="22.5" customHeight="1">
      <c r="A39" s="28" t="s">
        <v>509</v>
      </c>
      <c r="B39" s="37" t="s">
        <v>178</v>
      </c>
      <c r="C39" s="37" t="s">
        <v>922</v>
      </c>
      <c r="D39" s="37" t="s">
        <v>72</v>
      </c>
      <c r="E39" s="37" t="s">
        <v>1059</v>
      </c>
      <c r="F39" s="37">
        <v>1</v>
      </c>
      <c r="G39" s="37">
        <v>0.1</v>
      </c>
      <c r="H39" s="37">
        <v>1</v>
      </c>
      <c r="I39" s="37" t="s">
        <v>924</v>
      </c>
      <c r="J39" s="37" t="s">
        <v>982</v>
      </c>
      <c r="K39" s="37" t="s">
        <v>983</v>
      </c>
      <c r="L39" s="37" t="s">
        <v>495</v>
      </c>
      <c r="M39" s="37" t="s">
        <v>495</v>
      </c>
      <c r="N39" s="37" t="s">
        <v>57</v>
      </c>
      <c r="O39" s="37" t="s">
        <v>189</v>
      </c>
      <c r="P39" s="37" t="s">
        <v>189</v>
      </c>
      <c r="Q39" s="37" t="s">
        <v>57</v>
      </c>
      <c r="R39" s="37" t="s">
        <v>927</v>
      </c>
      <c r="S39" s="37" t="s">
        <v>953</v>
      </c>
      <c r="T39" s="37" t="s">
        <v>888</v>
      </c>
      <c r="U39" s="37" t="str">
        <f t="shared" si="0"/>
        <v>None</v>
      </c>
      <c r="V39" s="37" t="s">
        <v>1060</v>
      </c>
      <c r="W39" s="37" t="s">
        <v>888</v>
      </c>
      <c r="X39" s="37" t="s">
        <v>888</v>
      </c>
      <c r="Y39" s="37" t="s">
        <v>1061</v>
      </c>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row>
    <row r="40" spans="1:50" ht="22.5" customHeight="1">
      <c r="A40" s="28" t="s">
        <v>516</v>
      </c>
      <c r="B40" s="37" t="s">
        <v>1062</v>
      </c>
      <c r="C40" s="37" t="s">
        <v>939</v>
      </c>
      <c r="D40" s="37" t="s">
        <v>72</v>
      </c>
      <c r="E40" s="37" t="s">
        <v>1063</v>
      </c>
      <c r="F40" s="37">
        <v>4</v>
      </c>
      <c r="G40" s="37" t="s">
        <v>518</v>
      </c>
      <c r="H40" s="37">
        <v>8</v>
      </c>
      <c r="I40" s="37" t="s">
        <v>924</v>
      </c>
      <c r="J40" s="37" t="s">
        <v>982</v>
      </c>
      <c r="K40" s="37" t="s">
        <v>978</v>
      </c>
      <c r="L40" s="37" t="s">
        <v>252</v>
      </c>
      <c r="M40" s="37" t="s">
        <v>252</v>
      </c>
      <c r="N40" s="37" t="s">
        <v>57</v>
      </c>
      <c r="O40" s="37" t="s">
        <v>253</v>
      </c>
      <c r="P40" s="37" t="s">
        <v>253</v>
      </c>
      <c r="Q40" s="37" t="s">
        <v>57</v>
      </c>
      <c r="R40" s="37" t="s">
        <v>927</v>
      </c>
      <c r="S40" s="37" t="s">
        <v>979</v>
      </c>
      <c r="T40" s="37" t="s">
        <v>929</v>
      </c>
      <c r="U40" s="37" t="str">
        <f t="shared" si="0"/>
        <v>Extraction</v>
      </c>
      <c r="V40" s="37" t="s">
        <v>1064</v>
      </c>
      <c r="W40" s="37" t="s">
        <v>72</v>
      </c>
      <c r="X40" s="37" t="s">
        <v>72</v>
      </c>
      <c r="Y40" s="37" t="s">
        <v>1065</v>
      </c>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row>
    <row r="41" spans="1:50" ht="22.5" customHeight="1">
      <c r="A41" s="28" t="s">
        <v>525</v>
      </c>
      <c r="B41" s="37" t="s">
        <v>178</v>
      </c>
      <c r="C41" s="37" t="s">
        <v>922</v>
      </c>
      <c r="D41" s="37" t="s">
        <v>72</v>
      </c>
      <c r="E41" s="37" t="s">
        <v>1066</v>
      </c>
      <c r="F41" s="37">
        <v>1</v>
      </c>
      <c r="G41" s="37" t="s">
        <v>527</v>
      </c>
      <c r="H41" s="37">
        <v>2</v>
      </c>
      <c r="I41" s="37" t="s">
        <v>924</v>
      </c>
      <c r="J41" s="37" t="s">
        <v>982</v>
      </c>
      <c r="K41" s="37" t="s">
        <v>978</v>
      </c>
      <c r="L41" s="37" t="s">
        <v>495</v>
      </c>
      <c r="M41" s="37" t="s">
        <v>495</v>
      </c>
      <c r="N41" s="37" t="s">
        <v>57</v>
      </c>
      <c r="O41" s="37" t="s">
        <v>189</v>
      </c>
      <c r="P41" s="37" t="s">
        <v>189</v>
      </c>
      <c r="Q41" s="37" t="s">
        <v>57</v>
      </c>
      <c r="R41" s="37" t="s">
        <v>927</v>
      </c>
      <c r="S41" s="37" t="s">
        <v>979</v>
      </c>
      <c r="T41" s="37" t="s">
        <v>929</v>
      </c>
      <c r="U41" s="37" t="str">
        <f t="shared" si="0"/>
        <v>Extraction</v>
      </c>
      <c r="V41" s="37" t="s">
        <v>1067</v>
      </c>
      <c r="W41" s="37" t="s">
        <v>887</v>
      </c>
      <c r="X41" s="37" t="s">
        <v>887</v>
      </c>
      <c r="Y41" s="37" t="s">
        <v>1068</v>
      </c>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row>
    <row r="42" spans="1:50" ht="22.5" customHeight="1">
      <c r="A42" s="28" t="s">
        <v>534</v>
      </c>
      <c r="B42" s="37" t="s">
        <v>178</v>
      </c>
      <c r="C42" s="37" t="s">
        <v>922</v>
      </c>
      <c r="D42" s="37" t="s">
        <v>72</v>
      </c>
      <c r="E42" s="37" t="s">
        <v>1069</v>
      </c>
      <c r="F42" s="37">
        <v>1</v>
      </c>
      <c r="G42" s="37" t="s">
        <v>536</v>
      </c>
      <c r="H42" s="37">
        <v>1</v>
      </c>
      <c r="I42" s="37" t="s">
        <v>924</v>
      </c>
      <c r="J42" s="37" t="s">
        <v>195</v>
      </c>
      <c r="K42" s="37" t="s">
        <v>983</v>
      </c>
      <c r="L42" s="37" t="s">
        <v>495</v>
      </c>
      <c r="M42" s="37" t="s">
        <v>495</v>
      </c>
      <c r="N42" s="37" t="s">
        <v>57</v>
      </c>
      <c r="O42" s="37" t="s">
        <v>189</v>
      </c>
      <c r="P42" s="37" t="s">
        <v>189</v>
      </c>
      <c r="Q42" s="37" t="s">
        <v>57</v>
      </c>
      <c r="R42" s="37" t="s">
        <v>927</v>
      </c>
      <c r="S42" s="37" t="s">
        <v>1052</v>
      </c>
      <c r="T42" s="39" t="s">
        <v>70</v>
      </c>
      <c r="U42" s="37" t="str">
        <f t="shared" si="0"/>
        <v>Interpretation</v>
      </c>
      <c r="V42" s="37" t="s">
        <v>1070</v>
      </c>
      <c r="W42" s="37" t="s">
        <v>133</v>
      </c>
      <c r="X42" s="37" t="s">
        <v>883</v>
      </c>
      <c r="Y42" s="37" t="s">
        <v>1071</v>
      </c>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row>
    <row r="43" spans="1:50" ht="22.5" customHeight="1">
      <c r="A43" s="28" t="s">
        <v>542</v>
      </c>
      <c r="B43" s="37" t="s">
        <v>1072</v>
      </c>
      <c r="C43" s="37" t="s">
        <v>939</v>
      </c>
      <c r="D43" s="37" t="s">
        <v>72</v>
      </c>
      <c r="E43" s="37" t="s">
        <v>1073</v>
      </c>
      <c r="F43" s="37">
        <v>14</v>
      </c>
      <c r="G43" s="37" t="s">
        <v>544</v>
      </c>
      <c r="H43" s="37">
        <v>2</v>
      </c>
      <c r="I43" s="37" t="s">
        <v>924</v>
      </c>
      <c r="J43" s="37" t="s">
        <v>972</v>
      </c>
      <c r="K43" s="37" t="s">
        <v>972</v>
      </c>
      <c r="L43" s="37" t="s">
        <v>252</v>
      </c>
      <c r="M43" s="37" t="s">
        <v>252</v>
      </c>
      <c r="N43" s="37" t="s">
        <v>57</v>
      </c>
      <c r="O43" s="37" t="s">
        <v>253</v>
      </c>
      <c r="P43" s="37" t="s">
        <v>253</v>
      </c>
      <c r="Q43" s="37" t="s">
        <v>57</v>
      </c>
      <c r="R43" s="37" t="s">
        <v>989</v>
      </c>
      <c r="S43" s="37" t="s">
        <v>895</v>
      </c>
      <c r="T43" s="37" t="s">
        <v>63</v>
      </c>
      <c r="U43" s="37" t="str">
        <f t="shared" si="0"/>
        <v>Retrieval</v>
      </c>
      <c r="V43" s="37" t="s">
        <v>1074</v>
      </c>
      <c r="W43" s="37" t="s">
        <v>72</v>
      </c>
      <c r="X43" s="37" t="s">
        <v>76</v>
      </c>
      <c r="Y43" s="37" t="s">
        <v>1075</v>
      </c>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row>
    <row r="44" spans="1:50" ht="22.5" customHeight="1">
      <c r="A44" s="28" t="s">
        <v>551</v>
      </c>
      <c r="B44" s="37" t="s">
        <v>1076</v>
      </c>
      <c r="C44" s="37" t="s">
        <v>939</v>
      </c>
      <c r="D44" s="37" t="s">
        <v>72</v>
      </c>
      <c r="E44" s="37" t="s">
        <v>1077</v>
      </c>
      <c r="F44" s="37">
        <v>10</v>
      </c>
      <c r="G44" s="37" t="s">
        <v>553</v>
      </c>
      <c r="H44" s="37">
        <v>15</v>
      </c>
      <c r="I44" s="37" t="s">
        <v>924</v>
      </c>
      <c r="J44" s="37" t="s">
        <v>972</v>
      </c>
      <c r="K44" s="37" t="s">
        <v>978</v>
      </c>
      <c r="L44" s="37" t="s">
        <v>472</v>
      </c>
      <c r="M44" s="37" t="s">
        <v>472</v>
      </c>
      <c r="N44" s="37" t="s">
        <v>57</v>
      </c>
      <c r="O44" s="37" t="s">
        <v>473</v>
      </c>
      <c r="P44" s="37" t="s">
        <v>473</v>
      </c>
      <c r="Q44" s="37" t="s">
        <v>57</v>
      </c>
      <c r="R44" s="37" t="s">
        <v>927</v>
      </c>
      <c r="S44" s="37" t="s">
        <v>1078</v>
      </c>
      <c r="T44" s="37" t="s">
        <v>70</v>
      </c>
      <c r="U44" s="37" t="str">
        <f t="shared" si="0"/>
        <v>Interpretation</v>
      </c>
      <c r="V44" s="37" t="s">
        <v>1079</v>
      </c>
      <c r="W44" s="37" t="s">
        <v>133</v>
      </c>
      <c r="X44" s="37" t="s">
        <v>883</v>
      </c>
      <c r="Y44" s="37" t="s">
        <v>1080</v>
      </c>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row>
    <row r="45" spans="1:50" ht="22.5" customHeight="1">
      <c r="A45" s="28" t="s">
        <v>560</v>
      </c>
      <c r="B45" s="37"/>
      <c r="C45" s="37" t="s">
        <v>922</v>
      </c>
      <c r="D45" s="37" t="s">
        <v>72</v>
      </c>
      <c r="E45" s="37" t="s">
        <v>1081</v>
      </c>
      <c r="F45" s="37">
        <v>2</v>
      </c>
      <c r="G45" s="37" t="s">
        <v>562</v>
      </c>
      <c r="H45" s="37">
        <v>16</v>
      </c>
      <c r="I45" s="37" t="s">
        <v>924</v>
      </c>
      <c r="J45" s="37" t="s">
        <v>195</v>
      </c>
      <c r="K45" s="37" t="s">
        <v>978</v>
      </c>
      <c r="L45" s="37" t="s">
        <v>472</v>
      </c>
      <c r="M45" s="37" t="s">
        <v>472</v>
      </c>
      <c r="N45" s="37" t="s">
        <v>57</v>
      </c>
      <c r="O45" s="37" t="s">
        <v>473</v>
      </c>
      <c r="P45" s="37" t="s">
        <v>473</v>
      </c>
      <c r="Q45" s="37" t="s">
        <v>57</v>
      </c>
      <c r="R45" s="37" t="s">
        <v>927</v>
      </c>
      <c r="S45" s="37" t="s">
        <v>1078</v>
      </c>
      <c r="T45" s="37" t="s">
        <v>1078</v>
      </c>
      <c r="U45" s="37" t="str">
        <f t="shared" si="0"/>
        <v>everything else</v>
      </c>
      <c r="V45" s="37" t="s">
        <v>1082</v>
      </c>
      <c r="W45" s="37" t="s">
        <v>72</v>
      </c>
      <c r="X45" s="37" t="s">
        <v>76</v>
      </c>
      <c r="Y45" s="37" t="s">
        <v>1083</v>
      </c>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row>
    <row r="46" spans="1:50" ht="22.5" customHeight="1">
      <c r="A46" s="28" t="s">
        <v>568</v>
      </c>
      <c r="B46" s="37" t="s">
        <v>178</v>
      </c>
      <c r="C46" s="37" t="s">
        <v>939</v>
      </c>
      <c r="D46" s="37" t="s">
        <v>72</v>
      </c>
      <c r="E46" s="37">
        <v>2</v>
      </c>
      <c r="F46" s="37">
        <v>1</v>
      </c>
      <c r="G46" s="37">
        <v>2</v>
      </c>
      <c r="H46" s="37">
        <v>1</v>
      </c>
      <c r="I46" s="37" t="s">
        <v>924</v>
      </c>
      <c r="J46" s="37" t="s">
        <v>982</v>
      </c>
      <c r="K46" s="37" t="s">
        <v>983</v>
      </c>
      <c r="L46" s="37" t="s">
        <v>408</v>
      </c>
      <c r="M46" s="37" t="s">
        <v>408</v>
      </c>
      <c r="N46" s="37" t="s">
        <v>57</v>
      </c>
      <c r="O46" s="37" t="s">
        <v>137</v>
      </c>
      <c r="P46" s="37" t="s">
        <v>137</v>
      </c>
      <c r="Q46" s="37" t="s">
        <v>57</v>
      </c>
      <c r="R46" s="37" t="s">
        <v>927</v>
      </c>
      <c r="S46" s="37" t="s">
        <v>953</v>
      </c>
      <c r="T46" s="37" t="s">
        <v>888</v>
      </c>
      <c r="U46" s="37" t="str">
        <f t="shared" si="0"/>
        <v>None</v>
      </c>
      <c r="V46" s="37" t="s">
        <v>1014</v>
      </c>
      <c r="W46" s="39" t="s">
        <v>888</v>
      </c>
      <c r="X46" s="39" t="s">
        <v>888</v>
      </c>
      <c r="Y46" s="39" t="s">
        <v>888</v>
      </c>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row>
    <row r="47" spans="1:50" ht="22.5" customHeight="1">
      <c r="A47" s="28" t="s">
        <v>579</v>
      </c>
      <c r="B47" s="37" t="s">
        <v>178</v>
      </c>
      <c r="C47" s="37" t="s">
        <v>939</v>
      </c>
      <c r="D47" s="37" t="s">
        <v>72</v>
      </c>
      <c r="E47" s="37">
        <v>5</v>
      </c>
      <c r="F47" s="37">
        <v>5</v>
      </c>
      <c r="G47" s="37">
        <v>2</v>
      </c>
      <c r="H47" s="37">
        <v>2</v>
      </c>
      <c r="I47" s="37" t="s">
        <v>924</v>
      </c>
      <c r="J47" s="37" t="s">
        <v>195</v>
      </c>
      <c r="K47" s="37" t="s">
        <v>972</v>
      </c>
      <c r="L47" s="37" t="s">
        <v>463</v>
      </c>
      <c r="M47" s="37" t="s">
        <v>463</v>
      </c>
      <c r="N47" s="37" t="s">
        <v>57</v>
      </c>
      <c r="O47" s="37" t="s">
        <v>464</v>
      </c>
      <c r="P47" s="37" t="s">
        <v>464</v>
      </c>
      <c r="Q47" s="37" t="s">
        <v>57</v>
      </c>
      <c r="R47" s="37" t="s">
        <v>1084</v>
      </c>
      <c r="S47" s="37" t="s">
        <v>892</v>
      </c>
      <c r="T47" s="37" t="s">
        <v>63</v>
      </c>
      <c r="U47" s="37" t="str">
        <f t="shared" si="0"/>
        <v>Retrieval</v>
      </c>
      <c r="V47" s="37" t="s">
        <v>1085</v>
      </c>
      <c r="W47" s="37" t="s">
        <v>133</v>
      </c>
      <c r="X47" s="37" t="s">
        <v>883</v>
      </c>
      <c r="Y47" s="37" t="s">
        <v>1086</v>
      </c>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row>
    <row r="48" spans="1:50" ht="22.5" customHeight="1">
      <c r="A48" s="28" t="s">
        <v>585</v>
      </c>
      <c r="B48" s="37" t="s">
        <v>178</v>
      </c>
      <c r="C48" s="37" t="s">
        <v>939</v>
      </c>
      <c r="D48" s="37" t="s">
        <v>72</v>
      </c>
      <c r="E48" s="37">
        <v>5</v>
      </c>
      <c r="F48" s="37">
        <v>1</v>
      </c>
      <c r="G48" s="37">
        <v>2</v>
      </c>
      <c r="H48" s="37">
        <v>1</v>
      </c>
      <c r="I48" s="37" t="s">
        <v>924</v>
      </c>
      <c r="J48" s="37" t="s">
        <v>195</v>
      </c>
      <c r="K48" s="37" t="s">
        <v>972</v>
      </c>
      <c r="L48" s="37" t="s">
        <v>463</v>
      </c>
      <c r="M48" s="37" t="s">
        <v>463</v>
      </c>
      <c r="N48" s="37" t="s">
        <v>57</v>
      </c>
      <c r="O48" s="37" t="s">
        <v>464</v>
      </c>
      <c r="P48" s="37" t="s">
        <v>464</v>
      </c>
      <c r="Q48" s="37" t="s">
        <v>57</v>
      </c>
      <c r="R48" s="37" t="s">
        <v>1087</v>
      </c>
      <c r="S48" s="37" t="s">
        <v>892</v>
      </c>
      <c r="T48" s="37" t="s">
        <v>63</v>
      </c>
      <c r="U48" s="37" t="str">
        <f t="shared" si="0"/>
        <v>Retrieval</v>
      </c>
      <c r="V48" s="37" t="s">
        <v>1088</v>
      </c>
      <c r="W48" s="37" t="s">
        <v>133</v>
      </c>
      <c r="X48" s="37" t="s">
        <v>883</v>
      </c>
      <c r="Y48" s="37" t="s">
        <v>1089</v>
      </c>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row>
    <row r="49" spans="1:50" ht="22.5" customHeight="1">
      <c r="A49" s="28" t="s">
        <v>591</v>
      </c>
      <c r="B49" s="37" t="s">
        <v>178</v>
      </c>
      <c r="C49" s="37" t="s">
        <v>939</v>
      </c>
      <c r="D49" s="37" t="s">
        <v>72</v>
      </c>
      <c r="E49" s="37">
        <v>11</v>
      </c>
      <c r="F49" s="37">
        <v>1</v>
      </c>
      <c r="G49" s="37" t="s">
        <v>214</v>
      </c>
      <c r="H49" s="37">
        <v>0</v>
      </c>
      <c r="I49" s="37" t="s">
        <v>924</v>
      </c>
      <c r="J49" s="37" t="s">
        <v>195</v>
      </c>
      <c r="K49" s="37" t="s">
        <v>1031</v>
      </c>
      <c r="L49" s="37" t="s">
        <v>472</v>
      </c>
      <c r="M49" s="37" t="s">
        <v>472</v>
      </c>
      <c r="N49" s="37" t="s">
        <v>57</v>
      </c>
      <c r="O49" s="37" t="s">
        <v>473</v>
      </c>
      <c r="P49" s="37" t="s">
        <v>473</v>
      </c>
      <c r="Q49" s="37" t="s">
        <v>57</v>
      </c>
      <c r="R49" s="37" t="s">
        <v>927</v>
      </c>
      <c r="S49" s="37" t="s">
        <v>1090</v>
      </c>
      <c r="T49" s="39" t="s">
        <v>1091</v>
      </c>
      <c r="U49" s="37" t="str">
        <f t="shared" si="0"/>
        <v>Extraction</v>
      </c>
      <c r="V49" s="37" t="s">
        <v>1092</v>
      </c>
      <c r="W49" s="37" t="s">
        <v>133</v>
      </c>
      <c r="X49" s="37" t="s">
        <v>883</v>
      </c>
      <c r="Y49" s="37" t="s">
        <v>1093</v>
      </c>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row>
    <row r="50" spans="1:50" ht="22.5" customHeight="1">
      <c r="A50" s="28" t="s">
        <v>596</v>
      </c>
      <c r="B50" s="37" t="s">
        <v>178</v>
      </c>
      <c r="C50" s="37" t="s">
        <v>939</v>
      </c>
      <c r="D50" s="37" t="s">
        <v>72</v>
      </c>
      <c r="E50" s="37">
        <v>2</v>
      </c>
      <c r="F50" s="37">
        <v>1</v>
      </c>
      <c r="G50" s="37" t="s">
        <v>214</v>
      </c>
      <c r="H50" s="37">
        <v>0</v>
      </c>
      <c r="I50" s="37" t="s">
        <v>924</v>
      </c>
      <c r="J50" s="37" t="s">
        <v>195</v>
      </c>
      <c r="K50" s="37" t="s">
        <v>1031</v>
      </c>
      <c r="L50" s="37" t="s">
        <v>136</v>
      </c>
      <c r="M50" s="37" t="s">
        <v>136</v>
      </c>
      <c r="N50" s="37" t="s">
        <v>57</v>
      </c>
      <c r="O50" s="37" t="s">
        <v>137</v>
      </c>
      <c r="P50" s="37" t="s">
        <v>137</v>
      </c>
      <c r="Q50" s="37" t="s">
        <v>57</v>
      </c>
      <c r="R50" s="37" t="s">
        <v>927</v>
      </c>
      <c r="S50" s="37" t="s">
        <v>1090</v>
      </c>
      <c r="T50" s="39" t="s">
        <v>1091</v>
      </c>
      <c r="U50" s="37" t="str">
        <f t="shared" si="0"/>
        <v>Extraction</v>
      </c>
      <c r="V50" s="37" t="s">
        <v>1094</v>
      </c>
      <c r="W50" s="37" t="s">
        <v>72</v>
      </c>
      <c r="X50" s="37" t="s">
        <v>76</v>
      </c>
      <c r="Y50" s="37" t="s">
        <v>1095</v>
      </c>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row>
    <row r="51" spans="1:50" ht="22.5" customHeight="1">
      <c r="A51" s="28" t="s">
        <v>606</v>
      </c>
      <c r="B51" s="37" t="s">
        <v>178</v>
      </c>
      <c r="C51" s="37" t="s">
        <v>922</v>
      </c>
      <c r="D51" s="37" t="s">
        <v>72</v>
      </c>
      <c r="E51" s="37" t="s">
        <v>611</v>
      </c>
      <c r="F51" s="37">
        <v>5</v>
      </c>
      <c r="G51" s="37" t="s">
        <v>608</v>
      </c>
      <c r="H51" s="37">
        <v>2</v>
      </c>
      <c r="I51" s="37" t="s">
        <v>924</v>
      </c>
      <c r="J51" s="37" t="s">
        <v>972</v>
      </c>
      <c r="K51" s="37" t="s">
        <v>972</v>
      </c>
      <c r="L51" s="37" t="s">
        <v>463</v>
      </c>
      <c r="M51" s="37" t="s">
        <v>463</v>
      </c>
      <c r="N51" s="37" t="s">
        <v>57</v>
      </c>
      <c r="O51" s="37" t="s">
        <v>464</v>
      </c>
      <c r="P51" s="37" t="s">
        <v>464</v>
      </c>
      <c r="Q51" s="37" t="s">
        <v>57</v>
      </c>
      <c r="R51" s="37" t="s">
        <v>1087</v>
      </c>
      <c r="S51" s="37" t="s">
        <v>892</v>
      </c>
      <c r="T51" s="37" t="s">
        <v>63</v>
      </c>
      <c r="U51" s="37" t="str">
        <f t="shared" si="0"/>
        <v>Retrieval</v>
      </c>
      <c r="V51" s="37" t="s">
        <v>1096</v>
      </c>
      <c r="W51" s="37" t="s">
        <v>133</v>
      </c>
      <c r="X51" s="37" t="s">
        <v>883</v>
      </c>
      <c r="Y51" s="37" t="s">
        <v>1097</v>
      </c>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row>
    <row r="52" spans="1:50" ht="22.5" customHeight="1">
      <c r="A52" s="28" t="s">
        <v>624</v>
      </c>
      <c r="B52" s="37" t="s">
        <v>628</v>
      </c>
      <c r="C52" s="37" t="s">
        <v>922</v>
      </c>
      <c r="D52" s="37" t="s">
        <v>72</v>
      </c>
      <c r="E52" s="37" t="s">
        <v>1098</v>
      </c>
      <c r="F52" s="37">
        <v>2</v>
      </c>
      <c r="G52" s="37" t="s">
        <v>626</v>
      </c>
      <c r="H52" s="37">
        <v>3</v>
      </c>
      <c r="I52" s="37" t="s">
        <v>924</v>
      </c>
      <c r="J52" s="37" t="s">
        <v>972</v>
      </c>
      <c r="K52" s="37" t="s">
        <v>978</v>
      </c>
      <c r="L52" s="37" t="s">
        <v>463</v>
      </c>
      <c r="M52" s="37" t="s">
        <v>463</v>
      </c>
      <c r="N52" s="37" t="s">
        <v>57</v>
      </c>
      <c r="O52" s="37" t="s">
        <v>464</v>
      </c>
      <c r="P52" s="37" t="s">
        <v>464</v>
      </c>
      <c r="Q52" s="37" t="s">
        <v>57</v>
      </c>
      <c r="R52" s="37" t="s">
        <v>927</v>
      </c>
      <c r="S52" s="37" t="s">
        <v>1099</v>
      </c>
      <c r="T52" s="37" t="s">
        <v>70</v>
      </c>
      <c r="U52" s="37" t="str">
        <f t="shared" si="0"/>
        <v>Interpretation</v>
      </c>
      <c r="V52" s="37" t="s">
        <v>1100</v>
      </c>
      <c r="W52" s="37" t="s">
        <v>133</v>
      </c>
      <c r="X52" s="37" t="s">
        <v>883</v>
      </c>
      <c r="Y52" s="37" t="s">
        <v>1101</v>
      </c>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row>
    <row r="53" spans="1:50" ht="22.5" customHeight="1">
      <c r="A53" s="28" t="s">
        <v>633</v>
      </c>
      <c r="B53" s="37" t="s">
        <v>628</v>
      </c>
      <c r="C53" s="37" t="s">
        <v>922</v>
      </c>
      <c r="D53" s="37" t="s">
        <v>72</v>
      </c>
      <c r="E53" s="37" t="s">
        <v>1102</v>
      </c>
      <c r="F53" s="37">
        <v>5</v>
      </c>
      <c r="G53" s="37" t="s">
        <v>635</v>
      </c>
      <c r="H53" s="37">
        <v>4</v>
      </c>
      <c r="I53" s="37" t="s">
        <v>924</v>
      </c>
      <c r="J53" s="37" t="s">
        <v>972</v>
      </c>
      <c r="K53" s="37" t="s">
        <v>972</v>
      </c>
      <c r="L53" s="37" t="s">
        <v>463</v>
      </c>
      <c r="M53" s="37" t="s">
        <v>463</v>
      </c>
      <c r="N53" s="37" t="s">
        <v>57</v>
      </c>
      <c r="O53" s="37" t="s">
        <v>464</v>
      </c>
      <c r="P53" s="37" t="s">
        <v>464</v>
      </c>
      <c r="Q53" s="37" t="s">
        <v>57</v>
      </c>
      <c r="R53" s="37" t="s">
        <v>1103</v>
      </c>
      <c r="S53" s="37" t="s">
        <v>895</v>
      </c>
      <c r="T53" s="37" t="s">
        <v>63</v>
      </c>
      <c r="U53" s="37" t="str">
        <f t="shared" si="0"/>
        <v>Retrieval</v>
      </c>
      <c r="V53" s="37" t="s">
        <v>1104</v>
      </c>
      <c r="W53" s="37" t="s">
        <v>133</v>
      </c>
      <c r="X53" s="37" t="s">
        <v>883</v>
      </c>
      <c r="Y53" s="37" t="s">
        <v>1105</v>
      </c>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row>
    <row r="54" spans="1:50" ht="22.5" customHeight="1">
      <c r="A54" s="28" t="s">
        <v>614</v>
      </c>
      <c r="B54" s="37" t="s">
        <v>619</v>
      </c>
      <c r="C54" s="37" t="s">
        <v>922</v>
      </c>
      <c r="D54" s="37" t="s">
        <v>72</v>
      </c>
      <c r="E54" s="37" t="s">
        <v>1106</v>
      </c>
      <c r="F54" s="37">
        <v>5</v>
      </c>
      <c r="G54" s="37" t="s">
        <v>616</v>
      </c>
      <c r="H54" s="37">
        <v>3</v>
      </c>
      <c r="I54" s="37" t="s">
        <v>924</v>
      </c>
      <c r="J54" s="37" t="s">
        <v>972</v>
      </c>
      <c r="K54" s="37" t="s">
        <v>972</v>
      </c>
      <c r="L54" s="37" t="s">
        <v>463</v>
      </c>
      <c r="M54" s="37" t="s">
        <v>463</v>
      </c>
      <c r="N54" s="37" t="s">
        <v>57</v>
      </c>
      <c r="O54" s="37" t="s">
        <v>464</v>
      </c>
      <c r="P54" s="37" t="s">
        <v>464</v>
      </c>
      <c r="Q54" s="37" t="s">
        <v>57</v>
      </c>
      <c r="R54" s="37" t="s">
        <v>1087</v>
      </c>
      <c r="S54" s="37" t="s">
        <v>1107</v>
      </c>
      <c r="T54" s="37" t="s">
        <v>63</v>
      </c>
      <c r="U54" s="37" t="str">
        <f t="shared" si="0"/>
        <v>Retrieval</v>
      </c>
      <c r="V54" s="37" t="s">
        <v>1108</v>
      </c>
      <c r="W54" s="37" t="s">
        <v>133</v>
      </c>
      <c r="X54" s="37" t="s">
        <v>883</v>
      </c>
      <c r="Y54" s="37" t="s">
        <v>1109</v>
      </c>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row>
    <row r="55" spans="1:50" ht="22.5" customHeight="1">
      <c r="A55" s="39" t="s">
        <v>641</v>
      </c>
      <c r="B55" s="39" t="s">
        <v>645</v>
      </c>
      <c r="C55" s="39" t="s">
        <v>922</v>
      </c>
      <c r="D55" s="39" t="s">
        <v>72</v>
      </c>
      <c r="E55" s="39" t="s">
        <v>1110</v>
      </c>
      <c r="F55" s="39">
        <v>5</v>
      </c>
      <c r="G55" s="39" t="s">
        <v>643</v>
      </c>
      <c r="H55" s="39">
        <v>4</v>
      </c>
      <c r="I55" s="39" t="s">
        <v>924</v>
      </c>
      <c r="J55" s="39" t="s">
        <v>972</v>
      </c>
      <c r="K55" s="39" t="s">
        <v>972</v>
      </c>
      <c r="L55" s="39" t="s">
        <v>463</v>
      </c>
      <c r="M55" s="39" t="s">
        <v>463</v>
      </c>
      <c r="N55" s="39" t="s">
        <v>57</v>
      </c>
      <c r="O55" s="39" t="s">
        <v>464</v>
      </c>
      <c r="P55" s="39" t="s">
        <v>464</v>
      </c>
      <c r="Q55" s="39" t="s">
        <v>57</v>
      </c>
      <c r="R55" s="39" t="s">
        <v>927</v>
      </c>
      <c r="S55" s="39" t="s">
        <v>1111</v>
      </c>
      <c r="T55" s="39" t="s">
        <v>63</v>
      </c>
      <c r="U55" s="37" t="str">
        <f t="shared" si="0"/>
        <v>Retrieval</v>
      </c>
      <c r="V55" s="39" t="s">
        <v>1112</v>
      </c>
      <c r="W55" s="39" t="s">
        <v>72</v>
      </c>
      <c r="X55" s="39" t="s">
        <v>72</v>
      </c>
      <c r="Y55" s="39" t="s">
        <v>1113</v>
      </c>
    </row>
    <row r="56" spans="1:50" ht="22.5" customHeight="1">
      <c r="A56" s="39" t="s">
        <v>650</v>
      </c>
      <c r="B56" s="39" t="s">
        <v>1114</v>
      </c>
      <c r="C56" s="39" t="s">
        <v>922</v>
      </c>
      <c r="D56" s="39" t="s">
        <v>72</v>
      </c>
      <c r="E56" s="39" t="s">
        <v>1115</v>
      </c>
      <c r="F56" s="39">
        <v>5</v>
      </c>
      <c r="G56" s="39" t="s">
        <v>652</v>
      </c>
      <c r="H56" s="39">
        <v>3</v>
      </c>
      <c r="I56" s="39" t="s">
        <v>924</v>
      </c>
      <c r="J56" s="39" t="s">
        <v>972</v>
      </c>
      <c r="K56" s="39" t="s">
        <v>972</v>
      </c>
      <c r="L56" s="39" t="s">
        <v>463</v>
      </c>
      <c r="M56" s="39" t="s">
        <v>463</v>
      </c>
      <c r="N56" s="39" t="s">
        <v>57</v>
      </c>
      <c r="O56" s="39" t="s">
        <v>464</v>
      </c>
      <c r="P56" s="39" t="s">
        <v>464</v>
      </c>
      <c r="Q56" s="39" t="s">
        <v>57</v>
      </c>
      <c r="R56" s="39" t="s">
        <v>1087</v>
      </c>
      <c r="S56" s="39" t="s">
        <v>1116</v>
      </c>
      <c r="T56" s="39" t="s">
        <v>37</v>
      </c>
      <c r="U56" s="37" t="str">
        <f t="shared" si="0"/>
        <v>Retrieval</v>
      </c>
      <c r="V56" s="39" t="s">
        <v>1117</v>
      </c>
      <c r="W56" s="39" t="s">
        <v>890</v>
      </c>
      <c r="X56" s="39" t="s">
        <v>883</v>
      </c>
      <c r="Y56" s="39" t="s">
        <v>1118</v>
      </c>
    </row>
    <row r="57" spans="1:50" ht="22.5" customHeight="1">
      <c r="A57" s="39" t="s">
        <v>660</v>
      </c>
      <c r="B57" s="39" t="s">
        <v>1119</v>
      </c>
      <c r="C57" s="39" t="s">
        <v>922</v>
      </c>
      <c r="D57" s="39" t="s">
        <v>72</v>
      </c>
      <c r="E57" s="39" t="s">
        <v>1120</v>
      </c>
      <c r="F57" s="39">
        <v>5</v>
      </c>
      <c r="G57" s="39" t="s">
        <v>214</v>
      </c>
      <c r="H57" s="39">
        <v>0</v>
      </c>
      <c r="I57" s="39" t="s">
        <v>924</v>
      </c>
      <c r="J57" s="39" t="s">
        <v>195</v>
      </c>
      <c r="K57" s="39" t="s">
        <v>1031</v>
      </c>
      <c r="L57" s="39" t="s">
        <v>463</v>
      </c>
      <c r="M57" s="39" t="s">
        <v>463</v>
      </c>
      <c r="N57" s="39" t="s">
        <v>57</v>
      </c>
      <c r="O57" s="39" t="s">
        <v>464</v>
      </c>
      <c r="P57" s="39" t="s">
        <v>464</v>
      </c>
      <c r="Q57" s="39" t="s">
        <v>57</v>
      </c>
      <c r="R57" s="39" t="s">
        <v>927</v>
      </c>
      <c r="S57" s="39" t="s">
        <v>1121</v>
      </c>
      <c r="T57" s="39" t="s">
        <v>67</v>
      </c>
      <c r="U57" s="37" t="str">
        <f t="shared" si="0"/>
        <v>Extraction</v>
      </c>
      <c r="V57" s="39" t="s">
        <v>1122</v>
      </c>
      <c r="W57" s="39" t="s">
        <v>890</v>
      </c>
      <c r="X57" s="39" t="s">
        <v>883</v>
      </c>
      <c r="Y57" s="39" t="s">
        <v>1123</v>
      </c>
    </row>
    <row r="58" spans="1:50" ht="22.5" customHeight="1">
      <c r="A58" s="39" t="s">
        <v>667</v>
      </c>
      <c r="B58" s="39" t="s">
        <v>178</v>
      </c>
      <c r="C58" s="39" t="s">
        <v>922</v>
      </c>
      <c r="D58" s="39" t="s">
        <v>72</v>
      </c>
      <c r="E58" s="39">
        <v>1</v>
      </c>
      <c r="F58" s="39">
        <v>1</v>
      </c>
      <c r="G58" s="39" t="s">
        <v>669</v>
      </c>
      <c r="H58" s="39">
        <v>2</v>
      </c>
      <c r="I58" s="39" t="s">
        <v>924</v>
      </c>
      <c r="J58" s="39" t="s">
        <v>195</v>
      </c>
      <c r="K58" s="39" t="s">
        <v>978</v>
      </c>
      <c r="L58" s="39" t="s">
        <v>463</v>
      </c>
      <c r="M58" s="39" t="s">
        <v>463</v>
      </c>
      <c r="N58" s="39" t="s">
        <v>57</v>
      </c>
      <c r="O58" s="39" t="s">
        <v>464</v>
      </c>
      <c r="P58" s="39" t="s">
        <v>464</v>
      </c>
      <c r="Q58" s="39" t="s">
        <v>57</v>
      </c>
      <c r="R58" s="39" t="s">
        <v>927</v>
      </c>
      <c r="S58" s="39" t="s">
        <v>1124</v>
      </c>
      <c r="T58" s="39" t="s">
        <v>70</v>
      </c>
      <c r="U58" s="37" t="str">
        <f t="shared" si="0"/>
        <v>Interpretation</v>
      </c>
      <c r="V58" s="39" t="s">
        <v>1125</v>
      </c>
      <c r="W58" s="39" t="s">
        <v>72</v>
      </c>
      <c r="X58" s="39" t="s">
        <v>76</v>
      </c>
      <c r="Y58" s="39" t="s">
        <v>1126</v>
      </c>
    </row>
    <row r="59" spans="1:50" ht="22.5" customHeight="1">
      <c r="A59" s="39" t="s">
        <v>674</v>
      </c>
      <c r="B59" s="39" t="s">
        <v>680</v>
      </c>
      <c r="C59" s="39" t="s">
        <v>922</v>
      </c>
      <c r="D59" s="39" t="s">
        <v>72</v>
      </c>
      <c r="E59" s="39" t="s">
        <v>1127</v>
      </c>
      <c r="F59" s="39">
        <v>6</v>
      </c>
      <c r="G59" s="39" t="s">
        <v>214</v>
      </c>
      <c r="H59" s="39">
        <v>3</v>
      </c>
      <c r="I59" s="39" t="s">
        <v>924</v>
      </c>
      <c r="J59" s="39" t="s">
        <v>972</v>
      </c>
      <c r="K59" s="39" t="s">
        <v>972</v>
      </c>
      <c r="L59" s="39" t="s">
        <v>677</v>
      </c>
      <c r="M59" s="39" t="s">
        <v>677</v>
      </c>
      <c r="N59" s="39" t="s">
        <v>57</v>
      </c>
      <c r="O59" s="39" t="s">
        <v>464</v>
      </c>
      <c r="P59" s="39" t="s">
        <v>464</v>
      </c>
      <c r="Q59" s="39" t="s">
        <v>57</v>
      </c>
      <c r="R59" s="39" t="s">
        <v>927</v>
      </c>
      <c r="S59" s="39" t="s">
        <v>1128</v>
      </c>
      <c r="T59" s="39" t="s">
        <v>67</v>
      </c>
      <c r="U59" s="37" t="str">
        <f t="shared" si="0"/>
        <v>Extraction</v>
      </c>
      <c r="V59" s="39" t="s">
        <v>1129</v>
      </c>
      <c r="W59" s="39" t="s">
        <v>133</v>
      </c>
      <c r="X59" s="39" t="s">
        <v>883</v>
      </c>
      <c r="Y59" s="39" t="s">
        <v>1130</v>
      </c>
    </row>
    <row r="60" spans="1:50" ht="22.5" customHeight="1">
      <c r="A60" s="39" t="s">
        <v>684</v>
      </c>
      <c r="B60" s="39" t="s">
        <v>680</v>
      </c>
      <c r="C60" s="39" t="s">
        <v>922</v>
      </c>
      <c r="D60" s="39" t="s">
        <v>72</v>
      </c>
      <c r="E60" s="39" t="s">
        <v>1131</v>
      </c>
      <c r="F60" s="39">
        <v>6</v>
      </c>
      <c r="G60" s="39" t="s">
        <v>686</v>
      </c>
      <c r="H60" s="39">
        <v>2</v>
      </c>
      <c r="I60" s="39" t="s">
        <v>924</v>
      </c>
      <c r="J60" s="39" t="s">
        <v>972</v>
      </c>
      <c r="K60" s="39" t="s">
        <v>972</v>
      </c>
      <c r="L60" s="39" t="s">
        <v>677</v>
      </c>
      <c r="M60" s="39" t="s">
        <v>677</v>
      </c>
      <c r="N60" s="39" t="s">
        <v>57</v>
      </c>
      <c r="O60" s="39" t="s">
        <v>464</v>
      </c>
      <c r="P60" s="39" t="s">
        <v>464</v>
      </c>
      <c r="Q60" s="39" t="s">
        <v>57</v>
      </c>
      <c r="R60" s="39" t="s">
        <v>927</v>
      </c>
      <c r="S60" s="39" t="s">
        <v>1132</v>
      </c>
      <c r="T60" s="39" t="s">
        <v>1133</v>
      </c>
      <c r="U60" s="37" t="str">
        <f t="shared" si="0"/>
        <v>Extraction</v>
      </c>
      <c r="V60" s="39" t="s">
        <v>1134</v>
      </c>
      <c r="W60" s="39" t="s">
        <v>133</v>
      </c>
      <c r="X60" s="39" t="s">
        <v>883</v>
      </c>
      <c r="Y60" s="39" t="s">
        <v>1135</v>
      </c>
    </row>
    <row r="61" spans="1:50" ht="22.5" customHeight="1">
      <c r="A61" s="39" t="s">
        <v>692</v>
      </c>
      <c r="B61" s="39" t="s">
        <v>680</v>
      </c>
      <c r="C61" s="39" t="s">
        <v>922</v>
      </c>
      <c r="D61" s="39" t="s">
        <v>72</v>
      </c>
      <c r="E61" s="39" t="s">
        <v>1136</v>
      </c>
      <c r="F61" s="39">
        <v>6</v>
      </c>
      <c r="G61" s="39">
        <v>12078104</v>
      </c>
      <c r="H61" s="39">
        <v>1</v>
      </c>
      <c r="I61" s="39" t="s">
        <v>924</v>
      </c>
      <c r="J61" s="39" t="s">
        <v>972</v>
      </c>
      <c r="K61" s="39" t="s">
        <v>972</v>
      </c>
      <c r="L61" s="39" t="s">
        <v>677</v>
      </c>
      <c r="M61" s="39" t="s">
        <v>677</v>
      </c>
      <c r="N61" s="39" t="s">
        <v>57</v>
      </c>
      <c r="O61" s="39" t="s">
        <v>464</v>
      </c>
      <c r="P61" s="39" t="s">
        <v>464</v>
      </c>
      <c r="Q61" s="39" t="s">
        <v>57</v>
      </c>
      <c r="R61" s="39" t="s">
        <v>927</v>
      </c>
      <c r="S61" s="39" t="s">
        <v>1137</v>
      </c>
      <c r="T61" s="39" t="s">
        <v>67</v>
      </c>
      <c r="U61" s="37" t="str">
        <f t="shared" si="0"/>
        <v>Extraction</v>
      </c>
      <c r="V61" s="39" t="s">
        <v>1138</v>
      </c>
      <c r="W61" s="39" t="s">
        <v>133</v>
      </c>
      <c r="X61" s="39" t="s">
        <v>883</v>
      </c>
      <c r="Y61" s="39" t="s">
        <v>1139</v>
      </c>
    </row>
    <row r="62" spans="1:50" ht="22.5" customHeight="1">
      <c r="A62" s="39" t="s">
        <v>699</v>
      </c>
      <c r="B62" s="39" t="s">
        <v>680</v>
      </c>
      <c r="C62" s="39" t="s">
        <v>939</v>
      </c>
      <c r="D62" s="39" t="s">
        <v>72</v>
      </c>
      <c r="E62" s="39" t="s">
        <v>1140</v>
      </c>
      <c r="F62" s="39">
        <v>6</v>
      </c>
      <c r="G62" s="39" t="s">
        <v>701</v>
      </c>
      <c r="H62" s="39">
        <v>2</v>
      </c>
      <c r="I62" s="39" t="s">
        <v>924</v>
      </c>
      <c r="J62" s="39" t="s">
        <v>195</v>
      </c>
      <c r="K62" s="39" t="s">
        <v>972</v>
      </c>
      <c r="L62" s="39" t="s">
        <v>677</v>
      </c>
      <c r="M62" s="39" t="s">
        <v>677</v>
      </c>
      <c r="N62" s="39" t="s">
        <v>57</v>
      </c>
      <c r="O62" s="39" t="s">
        <v>464</v>
      </c>
      <c r="P62" s="39" t="s">
        <v>464</v>
      </c>
      <c r="Q62" s="39" t="s">
        <v>57</v>
      </c>
      <c r="R62" s="39" t="s">
        <v>927</v>
      </c>
      <c r="S62" s="39" t="s">
        <v>1141</v>
      </c>
      <c r="T62" s="39" t="s">
        <v>1133</v>
      </c>
      <c r="U62" s="37" t="str">
        <f t="shared" si="0"/>
        <v>Extraction</v>
      </c>
      <c r="V62" s="39" t="s">
        <v>1142</v>
      </c>
      <c r="W62" s="39" t="s">
        <v>890</v>
      </c>
      <c r="X62" s="39" t="s">
        <v>883</v>
      </c>
      <c r="Y62" s="39" t="s">
        <v>1143</v>
      </c>
    </row>
    <row r="63" spans="1:50" ht="22.5" customHeight="1">
      <c r="A63" s="39" t="s">
        <v>707</v>
      </c>
      <c r="B63" s="39" t="s">
        <v>680</v>
      </c>
      <c r="C63" s="39" t="s">
        <v>922</v>
      </c>
      <c r="D63" s="39" t="s">
        <v>72</v>
      </c>
      <c r="E63" s="39" t="s">
        <v>1144</v>
      </c>
      <c r="F63" s="39">
        <v>6</v>
      </c>
      <c r="G63" s="39" t="s">
        <v>214</v>
      </c>
      <c r="H63" s="39">
        <v>0</v>
      </c>
      <c r="I63" s="39" t="s">
        <v>924</v>
      </c>
      <c r="J63" s="39" t="s">
        <v>195</v>
      </c>
      <c r="K63" s="39" t="s">
        <v>1031</v>
      </c>
      <c r="L63" s="39" t="s">
        <v>677</v>
      </c>
      <c r="M63" s="39" t="s">
        <v>677</v>
      </c>
      <c r="N63" s="39" t="s">
        <v>57</v>
      </c>
      <c r="O63" s="39" t="s">
        <v>464</v>
      </c>
      <c r="P63" s="39" t="s">
        <v>464</v>
      </c>
      <c r="Q63" s="39" t="s">
        <v>57</v>
      </c>
      <c r="R63" s="39" t="s">
        <v>927</v>
      </c>
      <c r="S63" s="39" t="s">
        <v>1121</v>
      </c>
      <c r="T63" s="39" t="s">
        <v>67</v>
      </c>
      <c r="U63" s="37" t="str">
        <f t="shared" si="0"/>
        <v>Extraction</v>
      </c>
      <c r="V63" s="39" t="s">
        <v>1145</v>
      </c>
      <c r="W63" s="39" t="s">
        <v>890</v>
      </c>
      <c r="X63" s="39" t="s">
        <v>883</v>
      </c>
      <c r="Y63" s="39" t="s">
        <v>1146</v>
      </c>
    </row>
    <row r="64" spans="1:50" ht="22.5" customHeight="1">
      <c r="A64" s="39" t="s">
        <v>713</v>
      </c>
      <c r="B64" s="39" t="s">
        <v>680</v>
      </c>
      <c r="C64" s="39" t="s">
        <v>922</v>
      </c>
      <c r="D64" s="39" t="s">
        <v>72</v>
      </c>
      <c r="E64" s="39" t="s">
        <v>1147</v>
      </c>
      <c r="F64" s="39">
        <v>6</v>
      </c>
      <c r="G64" s="39" t="s">
        <v>214</v>
      </c>
      <c r="H64" s="39">
        <v>0</v>
      </c>
      <c r="I64" s="39" t="s">
        <v>924</v>
      </c>
      <c r="J64" s="39" t="s">
        <v>195</v>
      </c>
      <c r="K64" s="39" t="s">
        <v>1031</v>
      </c>
      <c r="L64" s="39" t="s">
        <v>677</v>
      </c>
      <c r="M64" s="39" t="s">
        <v>677</v>
      </c>
      <c r="N64" s="39" t="s">
        <v>57</v>
      </c>
      <c r="O64" s="39" t="s">
        <v>464</v>
      </c>
      <c r="P64" s="39" t="s">
        <v>464</v>
      </c>
      <c r="Q64" s="39" t="s">
        <v>57</v>
      </c>
      <c r="R64" s="39" t="s">
        <v>927</v>
      </c>
      <c r="S64" s="39" t="s">
        <v>1148</v>
      </c>
      <c r="T64" s="39" t="s">
        <v>67</v>
      </c>
      <c r="U64" s="37" t="str">
        <f t="shared" si="0"/>
        <v>Extraction</v>
      </c>
      <c r="V64" s="39" t="s">
        <v>1149</v>
      </c>
      <c r="W64" s="39" t="s">
        <v>890</v>
      </c>
      <c r="X64" s="39" t="s">
        <v>883</v>
      </c>
      <c r="Y64" s="39" t="s">
        <v>1150</v>
      </c>
    </row>
    <row r="65" spans="1:25" ht="22.5" customHeight="1">
      <c r="A65" s="39" t="s">
        <v>719</v>
      </c>
      <c r="B65" s="39" t="s">
        <v>722</v>
      </c>
      <c r="C65" s="39" t="s">
        <v>939</v>
      </c>
      <c r="D65" s="39" t="s">
        <v>72</v>
      </c>
      <c r="E65" s="39" t="s">
        <v>1151</v>
      </c>
      <c r="F65" s="39">
        <v>1</v>
      </c>
      <c r="G65" s="39" t="s">
        <v>214</v>
      </c>
      <c r="H65" s="39">
        <v>0</v>
      </c>
      <c r="I65" s="39" t="s">
        <v>924</v>
      </c>
      <c r="J65" s="39" t="s">
        <v>195</v>
      </c>
      <c r="K65" s="39" t="s">
        <v>1031</v>
      </c>
      <c r="L65" s="39" t="s">
        <v>159</v>
      </c>
      <c r="M65" s="39" t="s">
        <v>159</v>
      </c>
      <c r="N65" s="39" t="s">
        <v>57</v>
      </c>
      <c r="O65" s="39" t="s">
        <v>160</v>
      </c>
      <c r="P65" s="39" t="s">
        <v>160</v>
      </c>
      <c r="Q65" s="39" t="s">
        <v>57</v>
      </c>
      <c r="R65" s="39" t="s">
        <v>927</v>
      </c>
      <c r="S65" s="39" t="s">
        <v>893</v>
      </c>
      <c r="T65" s="39" t="s">
        <v>37</v>
      </c>
      <c r="U65" s="37" t="str">
        <f t="shared" si="0"/>
        <v>Retrieval</v>
      </c>
      <c r="V65" s="39" t="s">
        <v>1152</v>
      </c>
      <c r="W65" s="39" t="s">
        <v>133</v>
      </c>
      <c r="X65" s="39" t="s">
        <v>133</v>
      </c>
      <c r="Y65" s="39" t="s">
        <v>1153</v>
      </c>
    </row>
    <row r="66" spans="1:25" ht="22.5" customHeight="1">
      <c r="A66" s="39" t="s">
        <v>726</v>
      </c>
      <c r="B66" s="39" t="s">
        <v>178</v>
      </c>
      <c r="C66" s="39" t="s">
        <v>922</v>
      </c>
      <c r="D66" s="39" t="s">
        <v>72</v>
      </c>
      <c r="E66" s="39" t="s">
        <v>1154</v>
      </c>
      <c r="F66" s="39">
        <v>2</v>
      </c>
      <c r="G66" s="39">
        <v>15</v>
      </c>
      <c r="H66" s="39">
        <v>1</v>
      </c>
      <c r="I66" s="39" t="s">
        <v>924</v>
      </c>
      <c r="J66" s="39" t="s">
        <v>972</v>
      </c>
      <c r="K66" s="39" t="s">
        <v>972</v>
      </c>
      <c r="L66" s="39" t="s">
        <v>495</v>
      </c>
      <c r="M66" s="39" t="s">
        <v>495</v>
      </c>
      <c r="N66" s="39" t="s">
        <v>57</v>
      </c>
      <c r="O66" s="39" t="s">
        <v>189</v>
      </c>
      <c r="P66" s="39" t="s">
        <v>189</v>
      </c>
      <c r="Q66" s="39" t="s">
        <v>57</v>
      </c>
      <c r="R66" s="39" t="s">
        <v>927</v>
      </c>
      <c r="S66" s="39" t="s">
        <v>1155</v>
      </c>
      <c r="T66" s="39" t="s">
        <v>67</v>
      </c>
      <c r="U66" s="37" t="str">
        <f t="shared" si="0"/>
        <v>Extraction</v>
      </c>
      <c r="V66" s="39" t="s">
        <v>1156</v>
      </c>
      <c r="W66" s="39" t="s">
        <v>72</v>
      </c>
      <c r="X66" s="39" t="s">
        <v>72</v>
      </c>
      <c r="Y66" s="39" t="s">
        <v>1157</v>
      </c>
    </row>
    <row r="67" spans="1:25" ht="22.5" customHeight="1">
      <c r="A67" s="39" t="s">
        <v>733</v>
      </c>
      <c r="B67" s="39" t="s">
        <v>178</v>
      </c>
      <c r="C67" s="39" t="s">
        <v>922</v>
      </c>
      <c r="D67" s="39" t="s">
        <v>72</v>
      </c>
      <c r="E67" s="39" t="s">
        <v>1158</v>
      </c>
      <c r="F67" s="39">
        <v>1</v>
      </c>
      <c r="G67" s="39" t="s">
        <v>735</v>
      </c>
      <c r="H67" s="39">
        <v>2</v>
      </c>
      <c r="I67" s="39" t="s">
        <v>924</v>
      </c>
      <c r="J67" s="39" t="s">
        <v>972</v>
      </c>
      <c r="K67" s="39" t="s">
        <v>978</v>
      </c>
      <c r="L67" s="39" t="s">
        <v>472</v>
      </c>
      <c r="M67" s="39" t="s">
        <v>472</v>
      </c>
      <c r="N67" s="39" t="s">
        <v>57</v>
      </c>
      <c r="O67" s="39" t="s">
        <v>473</v>
      </c>
      <c r="P67" s="39" t="s">
        <v>473</v>
      </c>
      <c r="Q67" s="39" t="s">
        <v>57</v>
      </c>
      <c r="R67" s="39" t="s">
        <v>927</v>
      </c>
      <c r="S67" s="39" t="s">
        <v>1159</v>
      </c>
      <c r="T67" s="39" t="s">
        <v>70</v>
      </c>
      <c r="U67" s="37" t="str">
        <f t="shared" si="0"/>
        <v>Interpretation</v>
      </c>
      <c r="V67" s="39" t="s">
        <v>1160</v>
      </c>
      <c r="W67" s="39" t="s">
        <v>72</v>
      </c>
      <c r="X67" s="39" t="s">
        <v>76</v>
      </c>
      <c r="Y67" s="39" t="s">
        <v>1161</v>
      </c>
    </row>
    <row r="68" spans="1:25" ht="22.5" customHeight="1">
      <c r="A68" s="39" t="s">
        <v>743</v>
      </c>
      <c r="B68" s="39" t="s">
        <v>178</v>
      </c>
      <c r="C68" s="39" t="s">
        <v>922</v>
      </c>
      <c r="D68" s="39" t="s">
        <v>72</v>
      </c>
      <c r="E68" s="39" t="s">
        <v>1162</v>
      </c>
      <c r="F68" s="39">
        <v>1</v>
      </c>
      <c r="G68" s="39" t="s">
        <v>745</v>
      </c>
      <c r="H68" s="39">
        <v>1</v>
      </c>
      <c r="I68" s="39" t="s">
        <v>924</v>
      </c>
      <c r="J68" s="39" t="s">
        <v>982</v>
      </c>
      <c r="K68" s="39" t="s">
        <v>983</v>
      </c>
      <c r="L68" s="39" t="s">
        <v>747</v>
      </c>
      <c r="M68" s="39" t="s">
        <v>747</v>
      </c>
      <c r="N68" s="39" t="s">
        <v>57</v>
      </c>
      <c r="O68" s="39" t="s">
        <v>748</v>
      </c>
      <c r="P68" s="39" t="s">
        <v>748</v>
      </c>
      <c r="Q68" s="39" t="s">
        <v>57</v>
      </c>
      <c r="R68" s="39" t="s">
        <v>927</v>
      </c>
      <c r="S68" s="39" t="s">
        <v>953</v>
      </c>
      <c r="T68" s="39" t="s">
        <v>888</v>
      </c>
      <c r="U68" s="37" t="str">
        <f t="shared" si="0"/>
        <v>None</v>
      </c>
      <c r="V68" s="39" t="s">
        <v>1163</v>
      </c>
      <c r="W68" s="39" t="s">
        <v>888</v>
      </c>
      <c r="X68" s="39" t="s">
        <v>888</v>
      </c>
      <c r="Y68" s="39" t="s">
        <v>1164</v>
      </c>
    </row>
    <row r="69" spans="1:25" ht="22.5" customHeight="1">
      <c r="A69" s="39" t="s">
        <v>755</v>
      </c>
      <c r="B69" s="39" t="s">
        <v>178</v>
      </c>
      <c r="C69" s="39" t="s">
        <v>922</v>
      </c>
      <c r="D69" s="39" t="s">
        <v>72</v>
      </c>
      <c r="E69" s="39" t="s">
        <v>1165</v>
      </c>
      <c r="F69" s="39">
        <v>1</v>
      </c>
      <c r="G69" s="39" t="s">
        <v>214</v>
      </c>
      <c r="H69" s="39">
        <v>0</v>
      </c>
      <c r="I69" s="39" t="s">
        <v>924</v>
      </c>
      <c r="J69" s="39" t="s">
        <v>195</v>
      </c>
      <c r="K69" s="39" t="s">
        <v>1031</v>
      </c>
      <c r="L69" s="39" t="s">
        <v>747</v>
      </c>
      <c r="M69" s="39" t="s">
        <v>747</v>
      </c>
      <c r="N69" s="39" t="s">
        <v>57</v>
      </c>
      <c r="O69" s="39" t="s">
        <v>748</v>
      </c>
      <c r="P69" s="39" t="s">
        <v>748</v>
      </c>
      <c r="Q69" s="39" t="s">
        <v>57</v>
      </c>
      <c r="R69" s="39" t="s">
        <v>927</v>
      </c>
      <c r="S69" s="39" t="s">
        <v>1166</v>
      </c>
      <c r="T69" s="39" t="s">
        <v>70</v>
      </c>
      <c r="U69" s="37" t="str">
        <f t="shared" si="0"/>
        <v>Interpretation</v>
      </c>
      <c r="V69" s="39" t="s">
        <v>1167</v>
      </c>
      <c r="W69" s="39" t="s">
        <v>72</v>
      </c>
      <c r="X69" s="39" t="s">
        <v>76</v>
      </c>
      <c r="Y69" s="39" t="s">
        <v>1168</v>
      </c>
    </row>
    <row r="70" spans="1:25" ht="22.5" customHeight="1">
      <c r="A70" s="39" t="s">
        <v>761</v>
      </c>
      <c r="B70" s="39" t="s">
        <v>178</v>
      </c>
      <c r="C70" s="39" t="s">
        <v>922</v>
      </c>
      <c r="D70" s="39" t="s">
        <v>72</v>
      </c>
      <c r="E70" s="39" t="s">
        <v>766</v>
      </c>
      <c r="F70" s="39">
        <v>1</v>
      </c>
      <c r="G70" s="39">
        <v>-379524</v>
      </c>
      <c r="H70" s="39">
        <v>1</v>
      </c>
      <c r="I70" s="39" t="s">
        <v>924</v>
      </c>
      <c r="J70" s="39" t="s">
        <v>195</v>
      </c>
      <c r="K70" s="39" t="s">
        <v>983</v>
      </c>
      <c r="L70" s="39" t="s">
        <v>159</v>
      </c>
      <c r="M70" s="39" t="s">
        <v>159</v>
      </c>
      <c r="N70" s="39" t="s">
        <v>57</v>
      </c>
      <c r="O70" s="39" t="s">
        <v>160</v>
      </c>
      <c r="P70" s="39" t="s">
        <v>160</v>
      </c>
      <c r="Q70" s="39" t="s">
        <v>57</v>
      </c>
      <c r="R70" s="39" t="s">
        <v>927</v>
      </c>
      <c r="S70" s="39" t="s">
        <v>898</v>
      </c>
      <c r="T70" s="39" t="s">
        <v>37</v>
      </c>
      <c r="U70" s="37" t="str">
        <f t="shared" si="0"/>
        <v>Retrieval</v>
      </c>
      <c r="V70" s="39" t="s">
        <v>1169</v>
      </c>
      <c r="W70" s="39" t="s">
        <v>890</v>
      </c>
      <c r="X70" s="39" t="s">
        <v>883</v>
      </c>
      <c r="Y70" s="39" t="s">
        <v>1170</v>
      </c>
    </row>
    <row r="71" spans="1:25" ht="22.5" customHeight="1">
      <c r="A71" s="39" t="s">
        <v>769</v>
      </c>
      <c r="B71" s="39" t="s">
        <v>178</v>
      </c>
      <c r="C71" s="39" t="s">
        <v>922</v>
      </c>
      <c r="D71" s="39" t="s">
        <v>72</v>
      </c>
      <c r="E71" s="39" t="s">
        <v>1171</v>
      </c>
      <c r="F71" s="39">
        <v>1</v>
      </c>
      <c r="G71" s="39">
        <v>5411.6</v>
      </c>
      <c r="H71" s="39">
        <v>1</v>
      </c>
      <c r="I71" s="39" t="s">
        <v>924</v>
      </c>
      <c r="J71" s="39" t="s">
        <v>982</v>
      </c>
      <c r="K71" s="39" t="s">
        <v>983</v>
      </c>
      <c r="L71" s="39" t="s">
        <v>480</v>
      </c>
      <c r="M71" s="39" t="s">
        <v>480</v>
      </c>
      <c r="N71" s="39" t="s">
        <v>57</v>
      </c>
      <c r="O71" s="39" t="s">
        <v>160</v>
      </c>
      <c r="P71" s="39" t="s">
        <v>160</v>
      </c>
      <c r="Q71" s="39" t="s">
        <v>57</v>
      </c>
      <c r="R71" s="39" t="s">
        <v>927</v>
      </c>
      <c r="S71" s="39" t="s">
        <v>953</v>
      </c>
      <c r="T71" s="39" t="s">
        <v>888</v>
      </c>
      <c r="U71" s="37" t="str">
        <f t="shared" si="0"/>
        <v>None</v>
      </c>
      <c r="V71" s="39" t="s">
        <v>1172</v>
      </c>
      <c r="W71" s="39" t="s">
        <v>888</v>
      </c>
      <c r="X71" s="39" t="s">
        <v>888</v>
      </c>
      <c r="Y71" s="39" t="s">
        <v>1173</v>
      </c>
    </row>
    <row r="72" spans="1:25" ht="22.5" customHeight="1">
      <c r="A72" s="39" t="s">
        <v>776</v>
      </c>
      <c r="B72" s="39" t="s">
        <v>178</v>
      </c>
      <c r="C72" s="39" t="s">
        <v>922</v>
      </c>
      <c r="D72" s="39" t="s">
        <v>72</v>
      </c>
      <c r="E72" s="39" t="s">
        <v>781</v>
      </c>
      <c r="F72" s="39">
        <v>1</v>
      </c>
      <c r="G72" s="39" t="s">
        <v>778</v>
      </c>
      <c r="H72" s="39">
        <v>1</v>
      </c>
      <c r="I72" s="39" t="s">
        <v>924</v>
      </c>
      <c r="J72" s="39" t="s">
        <v>972</v>
      </c>
      <c r="K72" s="39" t="s">
        <v>978</v>
      </c>
      <c r="L72" s="39" t="s">
        <v>136</v>
      </c>
      <c r="M72" s="39" t="s">
        <v>136</v>
      </c>
      <c r="N72" s="39" t="s">
        <v>57</v>
      </c>
      <c r="O72" s="39" t="s">
        <v>137</v>
      </c>
      <c r="P72" s="39" t="s">
        <v>137</v>
      </c>
      <c r="Q72" s="39" t="s">
        <v>57</v>
      </c>
      <c r="R72" s="39" t="s">
        <v>927</v>
      </c>
      <c r="S72" s="39" t="s">
        <v>1174</v>
      </c>
      <c r="T72" s="39" t="s">
        <v>9</v>
      </c>
      <c r="U72" s="37" t="str">
        <f t="shared" si="0"/>
        <v>Interpretation</v>
      </c>
      <c r="V72" s="39" t="s">
        <v>1175</v>
      </c>
      <c r="W72" s="39" t="s">
        <v>887</v>
      </c>
      <c r="X72" s="39" t="s">
        <v>887</v>
      </c>
      <c r="Y72" s="39" t="s">
        <v>1176</v>
      </c>
    </row>
    <row r="73" spans="1:25" ht="22.5" customHeight="1">
      <c r="A73" s="39" t="s">
        <v>784</v>
      </c>
      <c r="B73" s="39" t="s">
        <v>178</v>
      </c>
      <c r="C73" s="39" t="s">
        <v>922</v>
      </c>
      <c r="D73" s="39" t="s">
        <v>72</v>
      </c>
      <c r="E73" s="39" t="s">
        <v>788</v>
      </c>
      <c r="F73" s="39">
        <v>1</v>
      </c>
      <c r="G73" s="39">
        <v>100000</v>
      </c>
      <c r="H73" s="39">
        <v>1</v>
      </c>
      <c r="I73" s="39" t="s">
        <v>924</v>
      </c>
      <c r="J73" s="39" t="s">
        <v>982</v>
      </c>
      <c r="K73" s="39" t="s">
        <v>983</v>
      </c>
      <c r="L73" s="39" t="s">
        <v>408</v>
      </c>
      <c r="M73" s="39" t="s">
        <v>408</v>
      </c>
      <c r="N73" s="39" t="s">
        <v>57</v>
      </c>
      <c r="O73" s="39" t="s">
        <v>137</v>
      </c>
      <c r="P73" s="39" t="s">
        <v>137</v>
      </c>
      <c r="Q73" s="39" t="s">
        <v>57</v>
      </c>
      <c r="R73" s="39" t="s">
        <v>927</v>
      </c>
      <c r="S73" s="39" t="s">
        <v>953</v>
      </c>
      <c r="T73" s="39" t="s">
        <v>888</v>
      </c>
      <c r="U73" s="37" t="str">
        <f t="shared" si="0"/>
        <v>None</v>
      </c>
      <c r="V73" s="39" t="s">
        <v>1177</v>
      </c>
      <c r="W73" s="39" t="s">
        <v>888</v>
      </c>
      <c r="X73" s="39" t="s">
        <v>888</v>
      </c>
      <c r="Y73" s="39" t="s">
        <v>1178</v>
      </c>
    </row>
    <row r="74" spans="1:25" ht="22.5" customHeight="1">
      <c r="A74" s="39" t="s">
        <v>791</v>
      </c>
      <c r="B74" s="39" t="s">
        <v>178</v>
      </c>
      <c r="C74" s="39" t="s">
        <v>922</v>
      </c>
      <c r="D74" s="39" t="s">
        <v>72</v>
      </c>
      <c r="E74" s="39" t="s">
        <v>795</v>
      </c>
      <c r="F74" s="39" t="s">
        <v>1179</v>
      </c>
      <c r="G74" s="39">
        <v>14400000</v>
      </c>
      <c r="H74" s="39">
        <v>1</v>
      </c>
      <c r="I74" s="39" t="s">
        <v>924</v>
      </c>
      <c r="J74" s="39" t="s">
        <v>195</v>
      </c>
      <c r="K74" s="39" t="s">
        <v>972</v>
      </c>
      <c r="L74" s="39" t="s">
        <v>136</v>
      </c>
      <c r="M74" s="39" t="s">
        <v>136</v>
      </c>
      <c r="N74" s="39" t="s">
        <v>57</v>
      </c>
      <c r="O74" s="39" t="s">
        <v>137</v>
      </c>
      <c r="P74" s="39" t="s">
        <v>137</v>
      </c>
      <c r="Q74" s="39" t="s">
        <v>57</v>
      </c>
      <c r="R74" s="39" t="s">
        <v>927</v>
      </c>
      <c r="S74" s="39" t="s">
        <v>1180</v>
      </c>
      <c r="T74" s="39" t="s">
        <v>70</v>
      </c>
      <c r="U74" s="37" t="str">
        <f t="shared" si="0"/>
        <v>Interpretation</v>
      </c>
      <c r="V74" s="39" t="s">
        <v>1181</v>
      </c>
      <c r="W74" s="39" t="s">
        <v>133</v>
      </c>
      <c r="X74" s="39" t="s">
        <v>883</v>
      </c>
      <c r="Y74" s="39" t="s">
        <v>1182</v>
      </c>
    </row>
    <row r="75" spans="1:25" ht="22.5" customHeight="1">
      <c r="A75" s="39" t="s">
        <v>798</v>
      </c>
      <c r="B75" s="39" t="s">
        <v>800</v>
      </c>
      <c r="C75" s="39" t="s">
        <v>922</v>
      </c>
      <c r="D75" s="39" t="s">
        <v>72</v>
      </c>
      <c r="E75" s="39" t="s">
        <v>802</v>
      </c>
      <c r="F75" s="39">
        <v>2</v>
      </c>
      <c r="G75" s="39">
        <v>80000</v>
      </c>
      <c r="H75" s="39">
        <v>1</v>
      </c>
      <c r="I75" s="39" t="s">
        <v>924</v>
      </c>
      <c r="J75" s="39" t="s">
        <v>972</v>
      </c>
      <c r="K75" s="39" t="s">
        <v>972</v>
      </c>
      <c r="L75" s="39" t="s">
        <v>136</v>
      </c>
      <c r="M75" s="39" t="s">
        <v>136</v>
      </c>
      <c r="N75" s="39" t="s">
        <v>57</v>
      </c>
      <c r="O75" s="39" t="s">
        <v>137</v>
      </c>
      <c r="P75" s="39" t="s">
        <v>137</v>
      </c>
      <c r="Q75" s="39" t="s">
        <v>57</v>
      </c>
      <c r="R75" s="39" t="s">
        <v>927</v>
      </c>
      <c r="S75" s="39" t="s">
        <v>1183</v>
      </c>
      <c r="T75" s="39" t="s">
        <v>67</v>
      </c>
      <c r="U75" s="37" t="str">
        <f t="shared" si="0"/>
        <v>Extraction</v>
      </c>
      <c r="V75" s="39" t="s">
        <v>1184</v>
      </c>
      <c r="W75" s="39" t="s">
        <v>133</v>
      </c>
      <c r="X75" s="39" t="s">
        <v>133</v>
      </c>
      <c r="Y75" s="39" t="s">
        <v>1185</v>
      </c>
    </row>
    <row r="76" spans="1:25" ht="22.5" customHeight="1">
      <c r="A76" s="39" t="s">
        <v>805</v>
      </c>
      <c r="B76" s="39" t="s">
        <v>178</v>
      </c>
      <c r="C76" s="39" t="s">
        <v>922</v>
      </c>
      <c r="D76" s="39" t="s">
        <v>72</v>
      </c>
      <c r="E76" s="39" t="s">
        <v>809</v>
      </c>
      <c r="F76" s="39">
        <v>1</v>
      </c>
      <c r="G76" s="39" t="s">
        <v>214</v>
      </c>
      <c r="H76" s="39">
        <v>0</v>
      </c>
      <c r="I76" s="39" t="s">
        <v>924</v>
      </c>
      <c r="J76" s="39" t="s">
        <v>195</v>
      </c>
      <c r="K76" s="39" t="s">
        <v>1031</v>
      </c>
      <c r="L76" s="39" t="s">
        <v>136</v>
      </c>
      <c r="M76" s="39" t="s">
        <v>136</v>
      </c>
      <c r="N76" s="39" t="s">
        <v>57</v>
      </c>
      <c r="O76" s="39" t="s">
        <v>137</v>
      </c>
      <c r="P76" s="39" t="s">
        <v>137</v>
      </c>
      <c r="Q76" s="39" t="s">
        <v>57</v>
      </c>
      <c r="R76" s="39" t="s">
        <v>1186</v>
      </c>
      <c r="S76" s="39" t="s">
        <v>895</v>
      </c>
      <c r="T76" s="39" t="s">
        <v>63</v>
      </c>
      <c r="U76" s="37" t="str">
        <f t="shared" si="0"/>
        <v>Retrieval</v>
      </c>
      <c r="V76" s="39" t="s">
        <v>1187</v>
      </c>
      <c r="W76" s="39" t="s">
        <v>133</v>
      </c>
      <c r="X76" s="39" t="s">
        <v>883</v>
      </c>
      <c r="Y76" s="39" t="s">
        <v>1188</v>
      </c>
    </row>
    <row r="77" spans="1:25" ht="22.5" customHeight="1">
      <c r="A77" s="39" t="s">
        <v>811</v>
      </c>
      <c r="B77" s="39" t="s">
        <v>178</v>
      </c>
      <c r="C77" s="39" t="s">
        <v>922</v>
      </c>
      <c r="D77" s="39" t="s">
        <v>72</v>
      </c>
      <c r="E77" s="39" t="s">
        <v>815</v>
      </c>
      <c r="F77" s="39">
        <v>0</v>
      </c>
      <c r="G77" s="39" t="s">
        <v>214</v>
      </c>
      <c r="H77" s="39">
        <v>0</v>
      </c>
      <c r="I77" s="39" t="s">
        <v>924</v>
      </c>
      <c r="J77" s="39" t="s">
        <v>982</v>
      </c>
      <c r="K77" s="39" t="s">
        <v>983</v>
      </c>
      <c r="L77" s="39" t="s">
        <v>136</v>
      </c>
      <c r="M77" s="39" t="s">
        <v>136</v>
      </c>
      <c r="N77" s="39" t="s">
        <v>57</v>
      </c>
      <c r="O77" s="39" t="s">
        <v>137</v>
      </c>
      <c r="P77" s="39" t="s">
        <v>137</v>
      </c>
      <c r="Q77" s="39" t="s">
        <v>57</v>
      </c>
      <c r="R77" s="39" t="s">
        <v>927</v>
      </c>
      <c r="S77" s="39" t="s">
        <v>953</v>
      </c>
      <c r="T77" s="39" t="s">
        <v>888</v>
      </c>
      <c r="U77" s="37" t="str">
        <f t="shared" si="0"/>
        <v>None</v>
      </c>
      <c r="V77" s="39" t="s">
        <v>888</v>
      </c>
      <c r="W77" s="39" t="s">
        <v>888</v>
      </c>
      <c r="X77" s="39" t="s">
        <v>888</v>
      </c>
      <c r="Y77" s="39" t="s">
        <v>1189</v>
      </c>
    </row>
    <row r="78" spans="1:25" ht="22.5" customHeight="1">
      <c r="A78" s="39" t="s">
        <v>817</v>
      </c>
      <c r="B78" s="39" t="s">
        <v>178</v>
      </c>
      <c r="C78" s="39" t="s">
        <v>922</v>
      </c>
      <c r="D78" s="39" t="s">
        <v>72</v>
      </c>
      <c r="E78" s="39" t="s">
        <v>821</v>
      </c>
      <c r="F78" s="39">
        <v>1</v>
      </c>
      <c r="G78" s="39" t="s">
        <v>214</v>
      </c>
      <c r="H78" s="39">
        <v>0</v>
      </c>
      <c r="I78" s="39" t="s">
        <v>924</v>
      </c>
      <c r="J78" s="39" t="s">
        <v>195</v>
      </c>
      <c r="K78" s="39" t="s">
        <v>1031</v>
      </c>
      <c r="L78" s="39" t="s">
        <v>136</v>
      </c>
      <c r="M78" s="39" t="s">
        <v>136</v>
      </c>
      <c r="N78" s="39" t="s">
        <v>57</v>
      </c>
      <c r="O78" s="39" t="s">
        <v>137</v>
      </c>
      <c r="P78" s="39" t="s">
        <v>137</v>
      </c>
      <c r="Q78" s="39" t="s">
        <v>57</v>
      </c>
      <c r="R78" s="39" t="s">
        <v>927</v>
      </c>
      <c r="S78" s="39" t="s">
        <v>1190</v>
      </c>
      <c r="T78" s="39" t="s">
        <v>70</v>
      </c>
      <c r="U78" s="37" t="str">
        <f t="shared" si="0"/>
        <v>Interpretation</v>
      </c>
      <c r="V78" s="39" t="s">
        <v>1191</v>
      </c>
      <c r="W78" s="39" t="s">
        <v>169</v>
      </c>
      <c r="X78" s="39" t="s">
        <v>133</v>
      </c>
      <c r="Y78" s="39" t="s">
        <v>1192</v>
      </c>
    </row>
    <row r="79" spans="1:25" ht="22.5" customHeight="1">
      <c r="A79" s="39" t="s">
        <v>823</v>
      </c>
      <c r="B79" s="39" t="s">
        <v>178</v>
      </c>
      <c r="C79" s="39" t="s">
        <v>922</v>
      </c>
      <c r="D79" s="39" t="s">
        <v>72</v>
      </c>
      <c r="E79" s="39" t="s">
        <v>828</v>
      </c>
      <c r="F79" s="39">
        <v>1</v>
      </c>
      <c r="G79" s="39" t="s">
        <v>825</v>
      </c>
      <c r="H79" s="39">
        <v>1</v>
      </c>
      <c r="I79" s="39" t="s">
        <v>924</v>
      </c>
      <c r="J79" s="39" t="s">
        <v>195</v>
      </c>
      <c r="K79" s="39" t="s">
        <v>983</v>
      </c>
      <c r="L79" s="39" t="s">
        <v>136</v>
      </c>
      <c r="M79" s="39" t="s">
        <v>136</v>
      </c>
      <c r="N79" s="39" t="s">
        <v>57</v>
      </c>
      <c r="O79" s="39" t="s">
        <v>137</v>
      </c>
      <c r="P79" s="39" t="s">
        <v>137</v>
      </c>
      <c r="Q79" s="39" t="s">
        <v>57</v>
      </c>
      <c r="R79" s="39" t="s">
        <v>927</v>
      </c>
      <c r="S79" s="39" t="s">
        <v>1193</v>
      </c>
      <c r="T79" s="39" t="s">
        <v>70</v>
      </c>
      <c r="U79" s="37" t="str">
        <f t="shared" si="0"/>
        <v>Interpretation</v>
      </c>
      <c r="V79" s="39" t="s">
        <v>1194</v>
      </c>
      <c r="W79" s="39" t="s">
        <v>169</v>
      </c>
      <c r="X79" s="39" t="s">
        <v>133</v>
      </c>
      <c r="Y79" s="39" t="s">
        <v>1195</v>
      </c>
    </row>
    <row r="80" spans="1:25" ht="22.5" customHeight="1">
      <c r="A80" s="39" t="s">
        <v>831</v>
      </c>
      <c r="B80" s="39" t="s">
        <v>178</v>
      </c>
      <c r="C80" s="39" t="s">
        <v>922</v>
      </c>
      <c r="D80" s="39" t="s">
        <v>72</v>
      </c>
      <c r="E80" s="39" t="s">
        <v>835</v>
      </c>
      <c r="F80" s="39">
        <v>1</v>
      </c>
      <c r="G80" s="39" t="s">
        <v>214</v>
      </c>
      <c r="H80" s="39">
        <v>0</v>
      </c>
      <c r="I80" s="39" t="s">
        <v>924</v>
      </c>
      <c r="J80" s="39" t="s">
        <v>195</v>
      </c>
      <c r="K80" s="39" t="s">
        <v>1031</v>
      </c>
      <c r="L80" s="39" t="s">
        <v>408</v>
      </c>
      <c r="M80" s="39" t="s">
        <v>408</v>
      </c>
      <c r="N80" s="39" t="s">
        <v>57</v>
      </c>
      <c r="O80" s="39" t="s">
        <v>137</v>
      </c>
      <c r="P80" s="39" t="s">
        <v>137</v>
      </c>
      <c r="Q80" s="39" t="s">
        <v>57</v>
      </c>
      <c r="R80" s="39" t="s">
        <v>1186</v>
      </c>
      <c r="S80" s="39" t="s">
        <v>895</v>
      </c>
      <c r="T80" s="39" t="s">
        <v>63</v>
      </c>
      <c r="U80" s="37" t="str">
        <f t="shared" si="0"/>
        <v>Retrieval</v>
      </c>
      <c r="V80" s="39" t="s">
        <v>1196</v>
      </c>
      <c r="W80" s="39" t="s">
        <v>133</v>
      </c>
      <c r="X80" s="39" t="s">
        <v>883</v>
      </c>
      <c r="Y80" s="39" t="s">
        <v>1197</v>
      </c>
    </row>
    <row r="81" spans="1:25" ht="22.5" customHeight="1">
      <c r="A81" s="39" t="s">
        <v>837</v>
      </c>
      <c r="B81" s="39" t="s">
        <v>840</v>
      </c>
      <c r="C81" s="39" t="s">
        <v>939</v>
      </c>
      <c r="D81" s="39" t="s">
        <v>72</v>
      </c>
      <c r="E81" s="39" t="s">
        <v>1198</v>
      </c>
      <c r="F81" s="39">
        <v>3</v>
      </c>
      <c r="G81" s="39" t="s">
        <v>839</v>
      </c>
      <c r="H81" s="39">
        <v>2</v>
      </c>
      <c r="I81" s="39" t="s">
        <v>924</v>
      </c>
      <c r="J81" s="39" t="s">
        <v>972</v>
      </c>
      <c r="K81" s="39" t="s">
        <v>972</v>
      </c>
      <c r="L81" s="39" t="s">
        <v>252</v>
      </c>
      <c r="M81" s="39" t="s">
        <v>252</v>
      </c>
      <c r="N81" s="39" t="s">
        <v>57</v>
      </c>
      <c r="O81" s="39" t="s">
        <v>253</v>
      </c>
      <c r="P81" s="39" t="s">
        <v>253</v>
      </c>
      <c r="Q81" s="39" t="s">
        <v>57</v>
      </c>
      <c r="R81" s="39" t="s">
        <v>927</v>
      </c>
      <c r="S81" s="39" t="s">
        <v>1199</v>
      </c>
      <c r="T81" s="39" t="s">
        <v>1200</v>
      </c>
      <c r="U81" s="37" t="str">
        <f t="shared" si="0"/>
        <v>everything else</v>
      </c>
      <c r="V81" s="39" t="s">
        <v>1201</v>
      </c>
      <c r="W81" s="39" t="s">
        <v>133</v>
      </c>
      <c r="X81" s="39" t="s">
        <v>133</v>
      </c>
      <c r="Y81" s="39" t="s">
        <v>1202</v>
      </c>
    </row>
    <row r="82" spans="1:25" ht="22.5" customHeight="1">
      <c r="A82" s="39" t="s">
        <v>845</v>
      </c>
      <c r="B82" s="39" t="s">
        <v>848</v>
      </c>
      <c r="C82" s="39" t="s">
        <v>922</v>
      </c>
      <c r="D82" s="39" t="s">
        <v>72</v>
      </c>
      <c r="E82" s="39" t="s">
        <v>1203</v>
      </c>
      <c r="F82" s="39">
        <v>5</v>
      </c>
      <c r="G82" s="39" t="s">
        <v>214</v>
      </c>
      <c r="H82" s="39">
        <v>0</v>
      </c>
      <c r="I82" s="39" t="s">
        <v>924</v>
      </c>
      <c r="J82" s="39" t="s">
        <v>195</v>
      </c>
      <c r="K82" s="39" t="s">
        <v>1031</v>
      </c>
      <c r="L82" s="39" t="s">
        <v>159</v>
      </c>
      <c r="M82" s="39" t="s">
        <v>159</v>
      </c>
      <c r="N82" s="39" t="s">
        <v>57</v>
      </c>
      <c r="O82" s="39" t="s">
        <v>160</v>
      </c>
      <c r="P82" s="39" t="s">
        <v>160</v>
      </c>
      <c r="Q82" s="39" t="s">
        <v>57</v>
      </c>
      <c r="R82" s="39" t="s">
        <v>1186</v>
      </c>
      <c r="S82" s="39" t="s">
        <v>897</v>
      </c>
      <c r="T82" s="39" t="s">
        <v>37</v>
      </c>
      <c r="U82" s="37" t="str">
        <f t="shared" si="0"/>
        <v>Retrieval</v>
      </c>
      <c r="V82" s="39" t="s">
        <v>1204</v>
      </c>
      <c r="W82" s="39" t="s">
        <v>890</v>
      </c>
      <c r="X82" s="39" t="s">
        <v>883</v>
      </c>
      <c r="Y82" s="39" t="s">
        <v>1205</v>
      </c>
    </row>
    <row r="83" spans="1:25" ht="22.5" customHeight="1">
      <c r="A83" s="39" t="s">
        <v>852</v>
      </c>
      <c r="B83" s="39" t="s">
        <v>178</v>
      </c>
      <c r="C83" s="39" t="s">
        <v>922</v>
      </c>
      <c r="D83" s="39" t="s">
        <v>72</v>
      </c>
      <c r="E83" s="39" t="s">
        <v>856</v>
      </c>
      <c r="F83" s="39">
        <v>1</v>
      </c>
      <c r="G83" s="39">
        <v>118242.5</v>
      </c>
      <c r="H83" s="39">
        <v>1</v>
      </c>
      <c r="I83" s="39" t="s">
        <v>924</v>
      </c>
      <c r="J83" s="39" t="s">
        <v>195</v>
      </c>
      <c r="K83" s="39" t="s">
        <v>983</v>
      </c>
      <c r="L83" s="39" t="s">
        <v>136</v>
      </c>
      <c r="M83" s="39" t="s">
        <v>136</v>
      </c>
      <c r="N83" s="39" t="s">
        <v>57</v>
      </c>
      <c r="O83" s="39" t="s">
        <v>137</v>
      </c>
      <c r="P83" s="39" t="s">
        <v>137</v>
      </c>
      <c r="Q83" s="39" t="s">
        <v>57</v>
      </c>
      <c r="R83" s="39" t="s">
        <v>927</v>
      </c>
      <c r="S83" s="39" t="s">
        <v>899</v>
      </c>
      <c r="T83" s="39" t="s">
        <v>63</v>
      </c>
      <c r="U83" s="37" t="str">
        <f t="shared" si="0"/>
        <v>Retrieval</v>
      </c>
      <c r="V83" s="39" t="s">
        <v>1206</v>
      </c>
      <c r="W83" s="39" t="s">
        <v>133</v>
      </c>
      <c r="X83" s="39" t="s">
        <v>133</v>
      </c>
      <c r="Y83" s="39" t="s">
        <v>1207</v>
      </c>
    </row>
    <row r="84" spans="1:25" ht="22.5" customHeight="1">
      <c r="A84" s="39" t="s">
        <v>859</v>
      </c>
      <c r="B84" s="39" t="s">
        <v>178</v>
      </c>
      <c r="C84" s="39" t="s">
        <v>939</v>
      </c>
      <c r="D84" s="39" t="s">
        <v>72</v>
      </c>
      <c r="E84" s="39" t="s">
        <v>864</v>
      </c>
      <c r="F84" s="39">
        <v>2</v>
      </c>
      <c r="G84" s="39" t="s">
        <v>861</v>
      </c>
      <c r="H84" s="39">
        <v>2</v>
      </c>
      <c r="I84" s="39" t="s">
        <v>924</v>
      </c>
      <c r="J84" s="39" t="s">
        <v>982</v>
      </c>
      <c r="K84" s="39" t="s">
        <v>978</v>
      </c>
      <c r="L84" s="39" t="s">
        <v>252</v>
      </c>
      <c r="M84" s="39" t="s">
        <v>252</v>
      </c>
      <c r="N84" s="39" t="s">
        <v>57</v>
      </c>
      <c r="O84" s="39" t="s">
        <v>253</v>
      </c>
      <c r="P84" s="39" t="s">
        <v>253</v>
      </c>
      <c r="Q84" s="39" t="s">
        <v>57</v>
      </c>
      <c r="R84" s="39" t="s">
        <v>927</v>
      </c>
      <c r="S84" s="39" t="s">
        <v>1208</v>
      </c>
      <c r="T84" s="39" t="s">
        <v>70</v>
      </c>
      <c r="U84" s="37" t="str">
        <f t="shared" si="0"/>
        <v>Interpretation</v>
      </c>
      <c r="V84" s="39" t="s">
        <v>1209</v>
      </c>
      <c r="W84" s="39" t="s">
        <v>215</v>
      </c>
      <c r="X84" s="39" t="s">
        <v>215</v>
      </c>
      <c r="Y84" s="39" t="s">
        <v>1210</v>
      </c>
    </row>
    <row r="85" spans="1:25" ht="22.5" customHeight="1">
      <c r="A85" s="39" t="s">
        <v>443</v>
      </c>
      <c r="B85" s="39" t="s">
        <v>1211</v>
      </c>
      <c r="C85" s="39" t="s">
        <v>939</v>
      </c>
      <c r="D85" s="39" t="s">
        <v>72</v>
      </c>
      <c r="E85" s="39" t="s">
        <v>1212</v>
      </c>
      <c r="F85" s="39">
        <v>1</v>
      </c>
      <c r="G85" s="39">
        <v>5415614.7039999999</v>
      </c>
      <c r="H85" s="39">
        <v>1</v>
      </c>
      <c r="I85" s="39" t="s">
        <v>924</v>
      </c>
      <c r="J85" s="39" t="s">
        <v>982</v>
      </c>
      <c r="K85" s="39" t="s">
        <v>983</v>
      </c>
      <c r="L85" s="39" t="s">
        <v>159</v>
      </c>
      <c r="M85" s="39" t="s">
        <v>159</v>
      </c>
      <c r="N85" s="39" t="s">
        <v>57</v>
      </c>
      <c r="O85" s="39" t="s">
        <v>160</v>
      </c>
      <c r="P85" s="39" t="s">
        <v>160</v>
      </c>
      <c r="Q85" s="39" t="s">
        <v>57</v>
      </c>
      <c r="R85" s="39" t="s">
        <v>927</v>
      </c>
      <c r="S85" s="39" t="s">
        <v>1213</v>
      </c>
      <c r="T85" s="39" t="s">
        <v>1200</v>
      </c>
      <c r="U85" s="37" t="str">
        <f t="shared" si="0"/>
        <v>everything else</v>
      </c>
      <c r="V85" s="39" t="s">
        <v>1214</v>
      </c>
      <c r="W85" s="39" t="s">
        <v>215</v>
      </c>
      <c r="X85" s="39" t="s">
        <v>215</v>
      </c>
      <c r="Y85" s="39" t="s">
        <v>1215</v>
      </c>
    </row>
    <row r="86" spans="1:25" ht="22.5" customHeight="1">
      <c r="A86" s="39" t="s">
        <v>428</v>
      </c>
      <c r="B86" s="39" t="s">
        <v>1211</v>
      </c>
      <c r="C86" s="39" t="s">
        <v>939</v>
      </c>
      <c r="D86" s="39" t="s">
        <v>72</v>
      </c>
      <c r="E86" s="39" t="s">
        <v>1216</v>
      </c>
      <c r="F86" s="39">
        <v>1</v>
      </c>
      <c r="G86" s="39">
        <v>-4393429.426</v>
      </c>
      <c r="H86" s="39">
        <v>1</v>
      </c>
      <c r="I86" s="39" t="s">
        <v>924</v>
      </c>
      <c r="J86" s="39" t="s">
        <v>195</v>
      </c>
      <c r="K86" s="39" t="s">
        <v>983</v>
      </c>
      <c r="L86" s="39" t="s">
        <v>159</v>
      </c>
      <c r="M86" s="39" t="s">
        <v>159</v>
      </c>
      <c r="N86" s="39" t="s">
        <v>57</v>
      </c>
      <c r="O86" s="39" t="s">
        <v>160</v>
      </c>
      <c r="P86" s="39" t="s">
        <v>160</v>
      </c>
      <c r="Q86" s="39" t="s">
        <v>57</v>
      </c>
      <c r="R86" s="39" t="s">
        <v>927</v>
      </c>
      <c r="S86" s="39" t="s">
        <v>897</v>
      </c>
      <c r="T86" s="39" t="s">
        <v>70</v>
      </c>
      <c r="U86" s="37" t="str">
        <f t="shared" si="0"/>
        <v>Interpretation</v>
      </c>
      <c r="V86" s="39" t="s">
        <v>1217</v>
      </c>
      <c r="W86" s="39" t="s">
        <v>890</v>
      </c>
      <c r="X86" s="39" t="s">
        <v>883</v>
      </c>
      <c r="Y86" s="39" t="s">
        <v>1218</v>
      </c>
    </row>
    <row r="87" spans="1:25" ht="22.5" customHeight="1">
      <c r="A87" s="39" t="s">
        <v>438</v>
      </c>
      <c r="B87" s="39" t="s">
        <v>1211</v>
      </c>
      <c r="C87" s="39" t="s">
        <v>939</v>
      </c>
      <c r="D87" s="39" t="s">
        <v>72</v>
      </c>
      <c r="E87" s="39" t="s">
        <v>1219</v>
      </c>
      <c r="F87" s="39">
        <v>1</v>
      </c>
      <c r="G87" s="39">
        <v>-262358.7205</v>
      </c>
      <c r="H87" s="39">
        <v>1</v>
      </c>
      <c r="I87" s="39" t="s">
        <v>924</v>
      </c>
      <c r="J87" s="39" t="s">
        <v>982</v>
      </c>
      <c r="K87" s="39" t="s">
        <v>983</v>
      </c>
      <c r="L87" s="39" t="s">
        <v>159</v>
      </c>
      <c r="M87" s="39" t="s">
        <v>159</v>
      </c>
      <c r="N87" s="39" t="s">
        <v>57</v>
      </c>
      <c r="O87" s="39" t="s">
        <v>160</v>
      </c>
      <c r="P87" s="39" t="s">
        <v>160</v>
      </c>
      <c r="Q87" s="39" t="s">
        <v>57</v>
      </c>
      <c r="R87" s="39" t="s">
        <v>927</v>
      </c>
      <c r="S87" s="39" t="s">
        <v>1220</v>
      </c>
      <c r="T87" s="39" t="s">
        <v>1200</v>
      </c>
      <c r="U87" s="37" t="str">
        <f t="shared" si="0"/>
        <v>everything else</v>
      </c>
      <c r="V87" s="39" t="s">
        <v>1221</v>
      </c>
      <c r="W87" s="39" t="s">
        <v>215</v>
      </c>
      <c r="X87" s="39" t="s">
        <v>215</v>
      </c>
      <c r="Y87" s="39" t="s">
        <v>1222</v>
      </c>
    </row>
    <row r="88" spans="1:25" ht="22.5" customHeight="1">
      <c r="A88" s="39" t="s">
        <v>423</v>
      </c>
      <c r="B88" s="39" t="s">
        <v>1211</v>
      </c>
      <c r="C88" s="39" t="s">
        <v>939</v>
      </c>
      <c r="D88" s="39" t="s">
        <v>72</v>
      </c>
      <c r="E88" s="39" t="s">
        <v>1223</v>
      </c>
      <c r="F88" s="39">
        <v>1</v>
      </c>
      <c r="G88" s="39">
        <v>580951.28319999995</v>
      </c>
      <c r="H88" s="39">
        <v>1</v>
      </c>
      <c r="I88" s="39" t="s">
        <v>924</v>
      </c>
      <c r="J88" s="39" t="s">
        <v>195</v>
      </c>
      <c r="K88" s="39" t="s">
        <v>983</v>
      </c>
      <c r="L88" s="39" t="s">
        <v>159</v>
      </c>
      <c r="M88" s="39" t="s">
        <v>159</v>
      </c>
      <c r="N88" s="39" t="s">
        <v>57</v>
      </c>
      <c r="O88" s="39" t="s">
        <v>160</v>
      </c>
      <c r="P88" s="39" t="s">
        <v>160</v>
      </c>
      <c r="Q88" s="39" t="s">
        <v>57</v>
      </c>
      <c r="R88" s="39" t="s">
        <v>927</v>
      </c>
      <c r="S88" s="39" t="s">
        <v>898</v>
      </c>
      <c r="T88" s="39" t="s">
        <v>37</v>
      </c>
      <c r="U88" s="37" t="str">
        <f t="shared" si="0"/>
        <v>Retrieval</v>
      </c>
      <c r="V88" s="39" t="s">
        <v>1224</v>
      </c>
      <c r="W88" s="39" t="s">
        <v>883</v>
      </c>
      <c r="X88" s="39" t="s">
        <v>883</v>
      </c>
      <c r="Y88" s="39" t="s">
        <v>1225</v>
      </c>
    </row>
    <row r="89" spans="1:25" ht="22.5" customHeight="1">
      <c r="A89" s="39" t="s">
        <v>433</v>
      </c>
      <c r="B89" s="39" t="s">
        <v>1211</v>
      </c>
      <c r="C89" s="39" t="s">
        <v>939</v>
      </c>
      <c r="D89" s="39" t="s">
        <v>72</v>
      </c>
      <c r="E89" s="39" t="s">
        <v>1226</v>
      </c>
      <c r="F89" s="39">
        <v>1</v>
      </c>
      <c r="G89" s="39">
        <v>8.7599999999999997E-2</v>
      </c>
      <c r="H89" s="39">
        <v>1</v>
      </c>
      <c r="I89" s="39" t="s">
        <v>924</v>
      </c>
      <c r="J89" s="39" t="s">
        <v>195</v>
      </c>
      <c r="K89" s="39" t="s">
        <v>983</v>
      </c>
      <c r="L89" s="39" t="s">
        <v>159</v>
      </c>
      <c r="M89" s="39" t="s">
        <v>159</v>
      </c>
      <c r="N89" s="39" t="s">
        <v>57</v>
      </c>
      <c r="O89" s="39" t="s">
        <v>160</v>
      </c>
      <c r="P89" s="39" t="s">
        <v>160</v>
      </c>
      <c r="Q89" s="39" t="s">
        <v>57</v>
      </c>
      <c r="R89" s="39" t="s">
        <v>927</v>
      </c>
      <c r="S89" s="39" t="s">
        <v>1227</v>
      </c>
      <c r="T89" s="39" t="s">
        <v>74</v>
      </c>
      <c r="U89" s="37" t="str">
        <f t="shared" si="0"/>
        <v>everything else</v>
      </c>
      <c r="V89" s="39" t="s">
        <v>1228</v>
      </c>
      <c r="W89" s="39" t="s">
        <v>133</v>
      </c>
      <c r="X89" s="39" t="s">
        <v>133</v>
      </c>
      <c r="Y89" s="39" t="s">
        <v>1229</v>
      </c>
    </row>
    <row r="90" spans="1:25" ht="22.5" customHeight="1">
      <c r="A90" s="39" t="s">
        <v>167</v>
      </c>
      <c r="B90" s="39" t="s">
        <v>178</v>
      </c>
      <c r="C90" s="39" t="s">
        <v>939</v>
      </c>
      <c r="D90" s="39" t="s">
        <v>72</v>
      </c>
      <c r="E90" s="39" t="s">
        <v>1230</v>
      </c>
      <c r="F90" s="39">
        <v>1</v>
      </c>
      <c r="G90" s="39">
        <v>7077786.9000000004</v>
      </c>
      <c r="H90" s="39">
        <v>1</v>
      </c>
      <c r="I90" s="39" t="s">
        <v>924</v>
      </c>
      <c r="J90" s="39" t="s">
        <v>195</v>
      </c>
      <c r="K90" s="39" t="s">
        <v>983</v>
      </c>
      <c r="L90" s="39" t="s">
        <v>159</v>
      </c>
      <c r="M90" s="39" t="s">
        <v>159</v>
      </c>
      <c r="N90" s="39" t="s">
        <v>57</v>
      </c>
      <c r="O90" s="39" t="s">
        <v>160</v>
      </c>
      <c r="P90" s="39" t="s">
        <v>160</v>
      </c>
      <c r="Q90" s="39" t="s">
        <v>57</v>
      </c>
      <c r="R90" s="39" t="s">
        <v>927</v>
      </c>
      <c r="S90" s="39" t="s">
        <v>1231</v>
      </c>
      <c r="T90" s="39" t="s">
        <v>74</v>
      </c>
      <c r="U90" s="37" t="str">
        <f t="shared" si="0"/>
        <v>everything else</v>
      </c>
      <c r="V90" s="39" t="s">
        <v>1232</v>
      </c>
      <c r="W90" s="39" t="s">
        <v>133</v>
      </c>
      <c r="X90" s="39" t="s">
        <v>133</v>
      </c>
      <c r="Y90" s="39" t="s">
        <v>1233</v>
      </c>
    </row>
    <row r="91" spans="1:25" ht="22.5" customHeight="1">
      <c r="A91" s="39" t="s">
        <v>155</v>
      </c>
      <c r="B91" s="39" t="s">
        <v>178</v>
      </c>
      <c r="C91" s="39" t="s">
        <v>922</v>
      </c>
      <c r="D91" s="39" t="s">
        <v>72</v>
      </c>
      <c r="E91" s="39" t="s">
        <v>1234</v>
      </c>
      <c r="F91" s="39">
        <v>1</v>
      </c>
      <c r="G91" s="39">
        <v>0.115</v>
      </c>
      <c r="H91" s="39">
        <v>1</v>
      </c>
      <c r="I91" s="39" t="s">
        <v>924</v>
      </c>
      <c r="J91" s="39" t="s">
        <v>982</v>
      </c>
      <c r="K91" s="39" t="s">
        <v>983</v>
      </c>
      <c r="L91" s="39" t="s">
        <v>159</v>
      </c>
      <c r="M91" s="39" t="s">
        <v>159</v>
      </c>
      <c r="N91" s="39" t="s">
        <v>57</v>
      </c>
      <c r="O91" s="39" t="s">
        <v>160</v>
      </c>
      <c r="P91" s="39" t="s">
        <v>160</v>
      </c>
      <c r="Q91" s="39" t="s">
        <v>57</v>
      </c>
      <c r="R91" s="39" t="s">
        <v>927</v>
      </c>
      <c r="S91" s="39" t="s">
        <v>1235</v>
      </c>
      <c r="T91" s="39" t="s">
        <v>1200</v>
      </c>
      <c r="U91" s="37" t="str">
        <f t="shared" si="0"/>
        <v>everything else</v>
      </c>
      <c r="V91" s="39" t="s">
        <v>1236</v>
      </c>
      <c r="W91" s="39" t="s">
        <v>215</v>
      </c>
      <c r="X91" s="39" t="s">
        <v>215</v>
      </c>
      <c r="Y91" s="39" t="s">
        <v>1237</v>
      </c>
    </row>
    <row r="92" spans="1:25" ht="22.5" customHeight="1">
      <c r="A92" s="39" t="s">
        <v>574</v>
      </c>
      <c r="B92" s="39" t="s">
        <v>178</v>
      </c>
      <c r="C92" s="39" t="s">
        <v>939</v>
      </c>
      <c r="D92" s="39" t="s">
        <v>72</v>
      </c>
      <c r="E92" s="39">
        <v>2</v>
      </c>
      <c r="F92" s="39">
        <v>1</v>
      </c>
      <c r="G92" s="39">
        <v>2</v>
      </c>
      <c r="H92" s="39">
        <v>1</v>
      </c>
      <c r="I92" s="39" t="s">
        <v>924</v>
      </c>
      <c r="J92" s="39" t="s">
        <v>982</v>
      </c>
      <c r="K92" s="39" t="s">
        <v>983</v>
      </c>
      <c r="L92" s="39" t="s">
        <v>252</v>
      </c>
      <c r="M92" s="39" t="s">
        <v>252</v>
      </c>
      <c r="N92" s="39" t="s">
        <v>57</v>
      </c>
      <c r="O92" s="39" t="s">
        <v>253</v>
      </c>
      <c r="P92" s="39" t="s">
        <v>253</v>
      </c>
      <c r="Q92" s="39" t="s">
        <v>57</v>
      </c>
      <c r="R92" s="39" t="s">
        <v>927</v>
      </c>
      <c r="S92" s="39" t="s">
        <v>953</v>
      </c>
      <c r="T92" s="39" t="s">
        <v>888</v>
      </c>
      <c r="U92" s="37" t="str">
        <f t="shared" si="0"/>
        <v>None</v>
      </c>
      <c r="V92" s="39" t="s">
        <v>888</v>
      </c>
      <c r="W92" s="39" t="s">
        <v>888</v>
      </c>
      <c r="X92" s="39" t="s">
        <v>888</v>
      </c>
      <c r="Y92" s="39" t="s">
        <v>1238</v>
      </c>
    </row>
    <row r="93" spans="1:25" ht="22.5" customHeight="1">
      <c r="A93" s="39" t="s">
        <v>601</v>
      </c>
      <c r="B93" s="39" t="s">
        <v>178</v>
      </c>
      <c r="C93" s="39" t="s">
        <v>939</v>
      </c>
      <c r="D93" s="39" t="s">
        <v>72</v>
      </c>
      <c r="E93" s="39">
        <v>2</v>
      </c>
      <c r="F93" s="39">
        <v>1</v>
      </c>
      <c r="G93" s="39">
        <v>2</v>
      </c>
      <c r="H93" s="39">
        <v>1</v>
      </c>
      <c r="I93" s="39" t="s">
        <v>924</v>
      </c>
      <c r="J93" s="39" t="s">
        <v>982</v>
      </c>
      <c r="K93" s="39" t="s">
        <v>983</v>
      </c>
      <c r="L93" s="39" t="s">
        <v>252</v>
      </c>
      <c r="M93" s="39" t="s">
        <v>252</v>
      </c>
      <c r="N93" s="39" t="s">
        <v>57</v>
      </c>
      <c r="O93" s="39" t="s">
        <v>253</v>
      </c>
      <c r="P93" s="39" t="s">
        <v>253</v>
      </c>
      <c r="Q93" s="39" t="s">
        <v>57</v>
      </c>
      <c r="R93" s="39" t="s">
        <v>927</v>
      </c>
      <c r="S93" s="39" t="s">
        <v>953</v>
      </c>
      <c r="T93" s="39" t="s">
        <v>888</v>
      </c>
      <c r="U93" s="37" t="str">
        <f t="shared" si="0"/>
        <v>None</v>
      </c>
      <c r="V93" s="39" t="s">
        <v>888</v>
      </c>
      <c r="W93" s="39" t="s">
        <v>888</v>
      </c>
      <c r="X93" s="39" t="s">
        <v>888</v>
      </c>
      <c r="Y93" s="39" t="s">
        <v>1238</v>
      </c>
    </row>
  </sheetData>
  <customSheetViews>
    <customSheetView guid="{5A6D1F80-41DB-4724-9BA6-77FDF4D97D8F}" filter="1" showAutoFilter="1">
      <autoFilter ref="A1:Y93" xr:uid="{6A8DC4DB-54FE-48BB-9D5E-556B31D16866}"/>
    </customSheetView>
    <customSheetView guid="{E971E4F5-71A7-48E8-82BD-24BF33D28641}" filter="1" showAutoFilter="1">
      <autoFilter ref="A1:Y93" xr:uid="{367A1F0F-4E19-4E9F-A48D-B286BB300C78}"/>
    </customSheetView>
    <customSheetView guid="{C4DD3BFF-4675-4D39-A981-D6AF094CC5ED}" filter="1" showAutoFilter="1">
      <autoFilter ref="A1:Y93" xr:uid="{1328C035-CBF6-4BE8-BDFB-F1C100E59531}">
        <filterColumn colId="9">
          <filters>
            <filter val="PARTIAL"/>
            <filter val="EXACT"/>
          </filters>
        </filterColumn>
      </autoFilter>
    </customSheetView>
  </customSheetViews>
  <pageMargins left="0" right="0" top="0" bottom="0" header="0" footer="0"/>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2"/>
  <sheetViews>
    <sheetView workbookViewId="0"/>
  </sheetViews>
  <sheetFormatPr defaultColWidth="12.5703125" defaultRowHeight="15.75" customHeight="1"/>
  <cols>
    <col min="1" max="1" width="35.42578125" customWidth="1"/>
    <col min="2" max="2" width="29.140625" customWidth="1"/>
    <col min="3" max="3" width="32.28515625" customWidth="1"/>
    <col min="4" max="4" width="24.42578125" customWidth="1"/>
    <col min="5" max="5" width="18.42578125" customWidth="1"/>
    <col min="6" max="6" width="35.42578125" customWidth="1"/>
    <col min="9" max="26" width="12.5703125" style="27"/>
  </cols>
  <sheetData>
    <row r="1" spans="1:8">
      <c r="A1" s="7" t="s">
        <v>1239</v>
      </c>
      <c r="B1" s="7" t="s">
        <v>99</v>
      </c>
      <c r="C1" s="27"/>
      <c r="D1" s="27"/>
      <c r="E1" s="27"/>
      <c r="F1" s="27"/>
      <c r="G1" s="27"/>
      <c r="H1" s="27"/>
    </row>
    <row r="2" spans="1:8">
      <c r="A2" s="7" t="s">
        <v>1240</v>
      </c>
      <c r="B2" s="7" t="s">
        <v>7</v>
      </c>
      <c r="C2" s="27"/>
      <c r="D2" s="27"/>
      <c r="E2" s="27"/>
      <c r="F2" s="27"/>
      <c r="G2" s="27"/>
      <c r="H2" s="27"/>
    </row>
    <row r="3" spans="1:8">
      <c r="A3" s="29" t="s">
        <v>1241</v>
      </c>
      <c r="B3" s="29">
        <v>26</v>
      </c>
      <c r="C3" s="30"/>
      <c r="D3" s="27"/>
      <c r="E3" s="27"/>
      <c r="F3" s="27"/>
      <c r="G3" s="27"/>
      <c r="H3" s="27"/>
    </row>
    <row r="4" spans="1:8">
      <c r="A4" s="29" t="s">
        <v>1242</v>
      </c>
      <c r="B4" s="29"/>
      <c r="C4" s="30"/>
      <c r="D4" s="27"/>
      <c r="E4" s="27"/>
      <c r="F4" s="27"/>
      <c r="G4" s="27"/>
      <c r="H4" s="27"/>
    </row>
    <row r="5" spans="1:8">
      <c r="A5" s="29" t="s">
        <v>1243</v>
      </c>
      <c r="B5" s="29"/>
      <c r="C5" s="30"/>
      <c r="D5" s="27"/>
      <c r="E5" s="27"/>
      <c r="F5" s="27"/>
      <c r="G5" s="27"/>
      <c r="H5" s="27"/>
    </row>
    <row r="6" spans="1:8">
      <c r="A6" s="29" t="s">
        <v>1244</v>
      </c>
      <c r="B6" s="29"/>
      <c r="C6" s="30"/>
      <c r="D6" s="27"/>
      <c r="E6" s="27"/>
      <c r="F6" s="27"/>
      <c r="G6" s="27"/>
      <c r="H6" s="27"/>
    </row>
    <row r="7" spans="1:8">
      <c r="A7" s="29" t="s">
        <v>1245</v>
      </c>
      <c r="B7" s="29"/>
      <c r="C7" s="30"/>
      <c r="D7" s="27"/>
      <c r="E7" s="27"/>
      <c r="F7" s="27"/>
      <c r="G7" s="27"/>
      <c r="H7" s="27"/>
    </row>
    <row r="8" spans="1:8">
      <c r="A8" s="27"/>
      <c r="B8" s="27"/>
      <c r="C8" s="30"/>
      <c r="D8" s="27"/>
      <c r="E8" s="27"/>
      <c r="F8" s="27"/>
      <c r="G8" s="27"/>
      <c r="H8" s="27"/>
    </row>
    <row r="9" spans="1:8">
      <c r="A9" s="7" t="s">
        <v>1246</v>
      </c>
      <c r="B9" s="7"/>
      <c r="C9" s="31"/>
      <c r="D9" s="7"/>
      <c r="E9" s="27"/>
      <c r="F9" s="27"/>
      <c r="G9" s="27"/>
      <c r="H9" s="27"/>
    </row>
    <row r="10" spans="1:8">
      <c r="A10" s="7" t="s">
        <v>1247</v>
      </c>
      <c r="B10" s="7" t="s">
        <v>1248</v>
      </c>
      <c r="C10" s="7" t="s">
        <v>1249</v>
      </c>
      <c r="D10" s="7" t="s">
        <v>1250</v>
      </c>
      <c r="E10" s="27"/>
      <c r="F10" s="27"/>
      <c r="G10" s="27"/>
      <c r="H10" s="27"/>
    </row>
    <row r="11" spans="1:8">
      <c r="A11" s="32" t="s">
        <v>8</v>
      </c>
      <c r="B11" s="32">
        <v>4</v>
      </c>
      <c r="C11" s="6">
        <f t="shared" ref="C11:C17" si="0">B11 / $B$3</f>
        <v>0.15384615384615385</v>
      </c>
      <c r="D11" s="32" t="s">
        <v>76</v>
      </c>
      <c r="E11" s="27"/>
      <c r="F11" s="27"/>
      <c r="G11" s="27"/>
      <c r="H11" s="27"/>
    </row>
    <row r="12" spans="1:8">
      <c r="A12" s="32" t="s">
        <v>1004</v>
      </c>
      <c r="B12" s="32">
        <v>1</v>
      </c>
      <c r="C12" s="6">
        <f t="shared" si="0"/>
        <v>3.8461538461538464E-2</v>
      </c>
      <c r="D12" s="32" t="s">
        <v>76</v>
      </c>
      <c r="E12" s="27"/>
      <c r="F12" s="27"/>
      <c r="G12" s="27"/>
      <c r="H12" s="27"/>
    </row>
    <row r="13" spans="1:8">
      <c r="A13" s="32" t="s">
        <v>979</v>
      </c>
      <c r="B13" s="32">
        <v>6</v>
      </c>
      <c r="C13" s="6">
        <f t="shared" si="0"/>
        <v>0.23076923076923078</v>
      </c>
      <c r="D13" s="32" t="s">
        <v>72</v>
      </c>
      <c r="E13" s="27"/>
      <c r="F13" s="27"/>
      <c r="G13" s="27"/>
      <c r="H13" s="27"/>
    </row>
    <row r="14" spans="1:8">
      <c r="A14" s="32" t="s">
        <v>973</v>
      </c>
      <c r="B14" s="32">
        <v>2</v>
      </c>
      <c r="C14" s="6">
        <f t="shared" si="0"/>
        <v>7.6923076923076927E-2</v>
      </c>
      <c r="D14" s="32" t="s">
        <v>72</v>
      </c>
      <c r="E14" s="27"/>
      <c r="F14" s="27"/>
      <c r="G14" s="27"/>
      <c r="H14" s="27"/>
    </row>
    <row r="15" spans="1:8">
      <c r="A15" s="32" t="s">
        <v>895</v>
      </c>
      <c r="B15" s="32">
        <v>3</v>
      </c>
      <c r="C15" s="6">
        <f t="shared" si="0"/>
        <v>0.11538461538461539</v>
      </c>
      <c r="D15" s="32" t="s">
        <v>72</v>
      </c>
      <c r="E15" s="27"/>
      <c r="F15" s="27"/>
      <c r="G15" s="27"/>
      <c r="H15" s="27"/>
    </row>
    <row r="16" spans="1:8">
      <c r="A16" s="32" t="s">
        <v>953</v>
      </c>
      <c r="B16" s="32">
        <v>10</v>
      </c>
      <c r="C16" s="6">
        <f t="shared" si="0"/>
        <v>0.38461538461538464</v>
      </c>
      <c r="D16" s="32" t="s">
        <v>888</v>
      </c>
      <c r="E16" s="27"/>
      <c r="F16" s="27"/>
      <c r="G16" s="27"/>
      <c r="H16" s="27"/>
    </row>
    <row r="17" spans="1:8">
      <c r="A17" s="32" t="s">
        <v>1251</v>
      </c>
      <c r="B17" s="32">
        <f>SUM(B11:B16)</f>
        <v>26</v>
      </c>
      <c r="C17" s="6">
        <f t="shared" si="0"/>
        <v>1</v>
      </c>
      <c r="D17" s="32"/>
      <c r="E17" s="27"/>
      <c r="F17" s="27"/>
      <c r="G17" s="27"/>
      <c r="H17" s="27"/>
    </row>
    <row r="18" spans="1:8">
      <c r="A18" s="27"/>
      <c r="B18" s="27"/>
      <c r="C18" s="27"/>
      <c r="D18" s="27"/>
      <c r="E18" s="27"/>
      <c r="F18" s="27"/>
      <c r="G18" s="27"/>
      <c r="H18" s="27"/>
    </row>
    <row r="19" spans="1:8">
      <c r="A19" s="7" t="s">
        <v>1252</v>
      </c>
      <c r="B19" s="7"/>
      <c r="C19" s="31"/>
      <c r="D19" s="33"/>
      <c r="E19" s="27"/>
      <c r="F19" s="27"/>
      <c r="G19" s="27"/>
      <c r="H19" s="27"/>
    </row>
    <row r="20" spans="1:8">
      <c r="A20" s="7" t="s">
        <v>1250</v>
      </c>
      <c r="B20" s="7" t="s">
        <v>1248</v>
      </c>
      <c r="C20" s="7" t="s">
        <v>1253</v>
      </c>
      <c r="D20" s="33"/>
      <c r="E20" s="27"/>
      <c r="F20" s="27"/>
      <c r="G20" s="27"/>
      <c r="H20" s="27"/>
    </row>
    <row r="21" spans="1:8">
      <c r="A21" s="32" t="s">
        <v>76</v>
      </c>
      <c r="B21" s="32">
        <f>B11 + B12</f>
        <v>5</v>
      </c>
      <c r="C21" s="6">
        <f t="shared" ref="C21:C23" si="1">B21 / $B$3</f>
        <v>0.19230769230769232</v>
      </c>
      <c r="D21" s="33"/>
      <c r="E21" s="27"/>
      <c r="F21" s="27"/>
      <c r="G21" s="27"/>
      <c r="H21" s="27"/>
    </row>
    <row r="22" spans="1:8">
      <c r="A22" s="32" t="s">
        <v>72</v>
      </c>
      <c r="B22" s="32">
        <f>B15 + B13 + B14</f>
        <v>11</v>
      </c>
      <c r="C22" s="6">
        <f t="shared" si="1"/>
        <v>0.42307692307692307</v>
      </c>
      <c r="D22" s="33"/>
      <c r="E22" s="27"/>
      <c r="F22" s="27"/>
      <c r="G22" s="27"/>
      <c r="H22" s="27"/>
    </row>
    <row r="23" spans="1:8">
      <c r="A23" s="32" t="s">
        <v>1254</v>
      </c>
      <c r="B23" s="32">
        <f>B16</f>
        <v>10</v>
      </c>
      <c r="C23" s="6">
        <f t="shared" si="1"/>
        <v>0.38461538461538464</v>
      </c>
      <c r="D23" s="33"/>
      <c r="E23" s="27"/>
      <c r="F23" s="27"/>
      <c r="G23" s="27"/>
      <c r="H23" s="27"/>
    </row>
    <row r="24" spans="1:8">
      <c r="A24" s="32"/>
      <c r="B24" s="32"/>
      <c r="C24" s="6"/>
      <c r="D24" s="33"/>
      <c r="E24" s="27"/>
      <c r="F24" s="27"/>
      <c r="G24" s="27"/>
      <c r="H24" s="27"/>
    </row>
    <row r="25" spans="1:8">
      <c r="A25" s="7" t="s">
        <v>1255</v>
      </c>
      <c r="B25" s="7"/>
      <c r="C25" s="31"/>
      <c r="D25" s="7"/>
      <c r="E25" s="31"/>
      <c r="F25" s="7"/>
      <c r="G25" s="27"/>
      <c r="H25" s="27"/>
    </row>
    <row r="26" spans="1:8">
      <c r="A26" s="7" t="s">
        <v>1256</v>
      </c>
      <c r="B26" s="7" t="s">
        <v>1257</v>
      </c>
      <c r="C26" s="7" t="s">
        <v>1258</v>
      </c>
      <c r="D26" s="7" t="s">
        <v>1259</v>
      </c>
      <c r="E26" s="7" t="s">
        <v>1260</v>
      </c>
      <c r="F26" s="7" t="s">
        <v>59</v>
      </c>
      <c r="G26" s="27"/>
      <c r="H26" s="27"/>
    </row>
    <row r="27" spans="1:8">
      <c r="A27" s="32">
        <v>1</v>
      </c>
      <c r="B27" s="32" t="s">
        <v>8</v>
      </c>
      <c r="C27" s="6" t="s">
        <v>65</v>
      </c>
      <c r="D27" s="32">
        <v>4</v>
      </c>
      <c r="E27" s="6" t="s">
        <v>30</v>
      </c>
      <c r="F27" s="32" t="s">
        <v>1261</v>
      </c>
      <c r="G27" s="27"/>
      <c r="H27" s="27"/>
    </row>
    <row r="28" spans="1:8">
      <c r="A28" s="32">
        <v>2</v>
      </c>
      <c r="B28" s="32" t="s">
        <v>1004</v>
      </c>
      <c r="C28" s="6" t="s">
        <v>76</v>
      </c>
      <c r="D28" s="32">
        <v>1</v>
      </c>
      <c r="E28" s="6" t="s">
        <v>30</v>
      </c>
      <c r="F28" s="32" t="s">
        <v>1262</v>
      </c>
      <c r="G28" s="27"/>
      <c r="H28" s="27"/>
    </row>
    <row r="29" spans="1:8">
      <c r="A29" s="32">
        <v>3</v>
      </c>
      <c r="B29" s="32" t="s">
        <v>979</v>
      </c>
      <c r="C29" s="6" t="s">
        <v>72</v>
      </c>
      <c r="D29" s="32">
        <v>6</v>
      </c>
      <c r="E29" s="6" t="s">
        <v>1263</v>
      </c>
      <c r="F29" s="32" t="s">
        <v>1264</v>
      </c>
      <c r="G29" s="27"/>
      <c r="H29" s="27"/>
    </row>
    <row r="30" spans="1:8">
      <c r="A30" s="32">
        <v>4</v>
      </c>
      <c r="B30" s="32" t="s">
        <v>973</v>
      </c>
      <c r="C30" s="6" t="s">
        <v>72</v>
      </c>
      <c r="D30" s="32">
        <v>2</v>
      </c>
      <c r="E30" s="6" t="s">
        <v>1263</v>
      </c>
      <c r="F30" s="32" t="s">
        <v>1264</v>
      </c>
      <c r="G30" s="27"/>
      <c r="H30" s="27"/>
    </row>
    <row r="31" spans="1:8">
      <c r="A31" s="32">
        <v>5</v>
      </c>
      <c r="B31" s="32" t="s">
        <v>895</v>
      </c>
      <c r="C31" s="6" t="s">
        <v>72</v>
      </c>
      <c r="D31" s="32">
        <v>3</v>
      </c>
      <c r="E31" s="6" t="s">
        <v>926</v>
      </c>
      <c r="F31" s="32" t="s">
        <v>1265</v>
      </c>
      <c r="G31" s="27"/>
      <c r="H31" s="27"/>
    </row>
    <row r="32" spans="1:8">
      <c r="A32" s="32"/>
      <c r="B32" s="32"/>
      <c r="C32" s="6"/>
      <c r="D32" s="32"/>
      <c r="E32" s="27"/>
      <c r="F32" s="27"/>
      <c r="G32" s="27"/>
      <c r="H32" s="27"/>
    </row>
    <row r="33" spans="1:8">
      <c r="A33" s="7" t="s">
        <v>1266</v>
      </c>
      <c r="B33" s="7"/>
      <c r="C33" s="31"/>
      <c r="D33" s="7"/>
      <c r="E33" s="7"/>
      <c r="F33" s="27"/>
      <c r="G33" s="27"/>
      <c r="H33" s="27"/>
    </row>
    <row r="34" spans="1:8">
      <c r="A34" s="7" t="s">
        <v>1267</v>
      </c>
      <c r="B34" s="7" t="s">
        <v>1247</v>
      </c>
      <c r="C34" s="7" t="s">
        <v>1248</v>
      </c>
      <c r="D34" s="7" t="s">
        <v>1268</v>
      </c>
      <c r="E34" s="7" t="s">
        <v>1269</v>
      </c>
      <c r="F34" s="27"/>
      <c r="G34" s="27"/>
      <c r="H34" s="27"/>
    </row>
    <row r="35" spans="1:8">
      <c r="A35" s="32" t="s">
        <v>1261</v>
      </c>
      <c r="B35" s="32" t="s">
        <v>8</v>
      </c>
      <c r="C35" s="32">
        <v>4</v>
      </c>
      <c r="D35" s="32" t="s">
        <v>1270</v>
      </c>
      <c r="E35" s="32" t="s">
        <v>30</v>
      </c>
      <c r="F35" s="27"/>
      <c r="G35" s="27"/>
      <c r="H35" s="27"/>
    </row>
    <row r="36" spans="1:8">
      <c r="A36" s="32" t="s">
        <v>1261</v>
      </c>
      <c r="B36" s="32" t="s">
        <v>1004</v>
      </c>
      <c r="C36" s="32">
        <v>1</v>
      </c>
      <c r="D36" s="32" t="s">
        <v>1271</v>
      </c>
      <c r="E36" s="32" t="s">
        <v>30</v>
      </c>
      <c r="F36" s="27"/>
      <c r="G36" s="27"/>
      <c r="H36" s="27"/>
    </row>
    <row r="37" spans="1:8">
      <c r="A37" s="32" t="s">
        <v>1272</v>
      </c>
      <c r="B37" s="32" t="s">
        <v>979</v>
      </c>
      <c r="C37" s="32">
        <v>6</v>
      </c>
      <c r="D37" s="32" t="s">
        <v>1273</v>
      </c>
      <c r="E37" s="32" t="s">
        <v>1263</v>
      </c>
      <c r="F37" s="27"/>
      <c r="G37" s="27"/>
      <c r="H37" s="27"/>
    </row>
    <row r="38" spans="1:8">
      <c r="A38" s="32" t="s">
        <v>1272</v>
      </c>
      <c r="B38" s="32" t="s">
        <v>973</v>
      </c>
      <c r="C38" s="32">
        <v>2</v>
      </c>
      <c r="D38" s="32" t="s">
        <v>1274</v>
      </c>
      <c r="E38" s="32" t="s">
        <v>1263</v>
      </c>
      <c r="F38" s="27"/>
      <c r="G38" s="27"/>
      <c r="H38" s="27"/>
    </row>
    <row r="39" spans="1:8">
      <c r="A39" s="32" t="s">
        <v>1265</v>
      </c>
      <c r="B39" s="32" t="s">
        <v>895</v>
      </c>
      <c r="C39" s="32">
        <v>3</v>
      </c>
      <c r="D39" s="32" t="s">
        <v>1275</v>
      </c>
      <c r="E39" s="32" t="s">
        <v>926</v>
      </c>
      <c r="F39" s="27"/>
      <c r="G39" s="27"/>
      <c r="H39" s="27"/>
    </row>
    <row r="40" spans="1:8">
      <c r="A40" s="32"/>
      <c r="B40" s="32"/>
      <c r="C40" s="6"/>
      <c r="D40" s="32"/>
      <c r="E40" s="27"/>
      <c r="F40" s="27"/>
      <c r="G40" s="27"/>
      <c r="H40" s="27"/>
    </row>
    <row r="41" spans="1:8">
      <c r="A41" s="32"/>
      <c r="B41" s="32"/>
      <c r="C41" s="6"/>
      <c r="D41" s="32"/>
      <c r="E41" s="27"/>
      <c r="F41" s="27"/>
      <c r="G41" s="27"/>
      <c r="H41" s="27"/>
    </row>
    <row r="42" spans="1:8">
      <c r="A42" s="7" t="s">
        <v>1276</v>
      </c>
      <c r="B42" s="7"/>
      <c r="C42" s="34"/>
      <c r="D42" s="33"/>
      <c r="E42" s="27"/>
      <c r="F42" s="27"/>
      <c r="G42" s="27"/>
      <c r="H42" s="27"/>
    </row>
    <row r="43" spans="1:8">
      <c r="A43" s="7" t="s">
        <v>98</v>
      </c>
      <c r="B43" s="7" t="s">
        <v>99</v>
      </c>
      <c r="C43" s="33"/>
      <c r="D43" s="33"/>
      <c r="E43" s="27"/>
      <c r="F43" s="27"/>
      <c r="G43" s="27"/>
      <c r="H43" s="27"/>
    </row>
    <row r="44" spans="1:8">
      <c r="A44" s="32" t="s">
        <v>100</v>
      </c>
      <c r="B44" s="32">
        <f>B16 / $B$3</f>
        <v>0.38461538461538464</v>
      </c>
      <c r="C44" s="34"/>
      <c r="D44" s="33"/>
      <c r="E44" s="27"/>
      <c r="F44" s="27"/>
      <c r="G44" s="27"/>
      <c r="H44" s="27"/>
    </row>
    <row r="45" spans="1:8">
      <c r="A45" s="32" t="s">
        <v>1277</v>
      </c>
      <c r="B45" s="32">
        <f>B13 / $B$3</f>
        <v>0.23076923076923078</v>
      </c>
      <c r="C45" s="34"/>
      <c r="D45" s="33"/>
      <c r="E45" s="27"/>
      <c r="F45" s="27"/>
      <c r="G45" s="27"/>
      <c r="H45" s="27"/>
    </row>
    <row r="46" spans="1:8">
      <c r="A46" s="32" t="s">
        <v>1278</v>
      </c>
      <c r="B46" s="32">
        <f>(B12 + B11) / $B$3</f>
        <v>0.19230769230769232</v>
      </c>
      <c r="C46" s="34"/>
      <c r="D46" s="33"/>
      <c r="E46" s="27"/>
      <c r="F46" s="27"/>
      <c r="G46" s="27"/>
      <c r="H46" s="27"/>
    </row>
    <row r="47" spans="1:8">
      <c r="A47" s="32" t="s">
        <v>1279</v>
      </c>
      <c r="B47" s="32">
        <f>B15 / $B$3</f>
        <v>0.11538461538461539</v>
      </c>
      <c r="C47" s="34"/>
      <c r="D47" s="33"/>
      <c r="E47" s="27"/>
      <c r="F47" s="27"/>
      <c r="G47" s="27"/>
      <c r="H47" s="27"/>
    </row>
    <row r="48" spans="1:8">
      <c r="A48" s="32"/>
      <c r="B48" s="32"/>
      <c r="C48" s="34"/>
      <c r="D48" s="33"/>
      <c r="E48" s="27"/>
      <c r="F48" s="27"/>
      <c r="G48" s="27"/>
      <c r="H48" s="27"/>
    </row>
    <row r="49" spans="1:8">
      <c r="A49" s="32"/>
      <c r="B49" s="32"/>
      <c r="C49" s="34"/>
      <c r="D49" s="33"/>
      <c r="E49" s="27"/>
      <c r="F49" s="27"/>
      <c r="G49" s="27"/>
      <c r="H49" s="27"/>
    </row>
    <row r="50" spans="1:8">
      <c r="A50" s="7" t="s">
        <v>1280</v>
      </c>
      <c r="B50" s="7"/>
      <c r="C50" s="31"/>
      <c r="D50" s="33"/>
      <c r="E50" s="27"/>
      <c r="F50" s="27"/>
      <c r="G50" s="27"/>
      <c r="H50" s="27"/>
    </row>
    <row r="51" spans="1:8">
      <c r="A51" s="7" t="s">
        <v>1281</v>
      </c>
      <c r="B51" s="7" t="s">
        <v>1282</v>
      </c>
      <c r="C51" s="7" t="s">
        <v>919</v>
      </c>
      <c r="D51" s="33"/>
      <c r="E51" s="27"/>
      <c r="F51" s="27"/>
      <c r="G51" s="27"/>
      <c r="H51" s="27"/>
    </row>
    <row r="52" spans="1:8">
      <c r="A52" s="32" t="s">
        <v>1283</v>
      </c>
      <c r="B52" s="32" t="s">
        <v>30</v>
      </c>
      <c r="C52" s="6" t="s">
        <v>85</v>
      </c>
      <c r="D52" s="33"/>
      <c r="E52" s="27"/>
      <c r="F52" s="27"/>
      <c r="G52" s="27"/>
      <c r="H52" s="27"/>
    </row>
    <row r="53" spans="1:8">
      <c r="A53" s="32" t="s">
        <v>1284</v>
      </c>
      <c r="B53" s="32" t="s">
        <v>30</v>
      </c>
      <c r="C53" s="6" t="s">
        <v>76</v>
      </c>
      <c r="D53" s="33"/>
      <c r="E53" s="27"/>
      <c r="F53" s="27"/>
      <c r="G53" s="27"/>
      <c r="H53" s="27"/>
    </row>
    <row r="54" spans="1:8">
      <c r="A54" s="32" t="s">
        <v>1285</v>
      </c>
      <c r="B54" s="32" t="s">
        <v>30</v>
      </c>
      <c r="C54" s="6" t="s">
        <v>72</v>
      </c>
      <c r="D54" s="33"/>
      <c r="E54" s="27"/>
      <c r="F54" s="27"/>
      <c r="G54" s="27"/>
      <c r="H54" s="27"/>
    </row>
    <row r="55" spans="1:8">
      <c r="A55" s="32" t="s">
        <v>1286</v>
      </c>
      <c r="B55" s="32" t="s">
        <v>1287</v>
      </c>
      <c r="C55" s="6" t="s">
        <v>887</v>
      </c>
      <c r="D55" s="33"/>
      <c r="E55" s="27"/>
      <c r="F55" s="27"/>
      <c r="G55" s="27"/>
      <c r="H55" s="27"/>
    </row>
    <row r="56" spans="1:8">
      <c r="A56" s="32"/>
      <c r="B56" s="32"/>
      <c r="C56" s="6"/>
      <c r="D56" s="33"/>
      <c r="E56" s="27"/>
      <c r="F56" s="27"/>
      <c r="G56" s="27"/>
      <c r="H56" s="27"/>
    </row>
    <row r="57" spans="1:8">
      <c r="A57" s="32"/>
      <c r="B57" s="32"/>
      <c r="C57" s="6"/>
      <c r="D57" s="33"/>
      <c r="E57" s="27"/>
      <c r="F57" s="27"/>
      <c r="G57" s="27"/>
      <c r="H57" s="27"/>
    </row>
    <row r="58" spans="1:8">
      <c r="A58" s="7" t="s">
        <v>1288</v>
      </c>
      <c r="B58" s="7"/>
      <c r="C58" s="31"/>
      <c r="D58" s="7"/>
      <c r="E58" s="7"/>
      <c r="F58" s="27"/>
      <c r="G58" s="27"/>
      <c r="H58" s="27"/>
    </row>
    <row r="59" spans="1:8">
      <c r="A59" s="7" t="s">
        <v>79</v>
      </c>
      <c r="B59" s="7" t="s">
        <v>1289</v>
      </c>
      <c r="C59" s="7" t="s">
        <v>1290</v>
      </c>
      <c r="D59" s="7" t="s">
        <v>1291</v>
      </c>
      <c r="E59" s="7" t="s">
        <v>1292</v>
      </c>
      <c r="F59" s="27"/>
      <c r="G59" s="27"/>
      <c r="H59" s="27"/>
    </row>
    <row r="60" spans="1:8">
      <c r="A60" s="32">
        <v>1</v>
      </c>
      <c r="B60" s="32" t="s">
        <v>1293</v>
      </c>
      <c r="C60" s="6" t="s">
        <v>65</v>
      </c>
      <c r="D60" s="32" t="s">
        <v>72</v>
      </c>
      <c r="E60" s="32" t="s">
        <v>1294</v>
      </c>
      <c r="F60" s="27"/>
      <c r="G60" s="27"/>
      <c r="H60" s="27"/>
    </row>
    <row r="61" spans="1:8">
      <c r="A61" s="32">
        <v>2</v>
      </c>
      <c r="B61" s="32" t="s">
        <v>1295</v>
      </c>
      <c r="C61" s="6" t="s">
        <v>76</v>
      </c>
      <c r="D61" s="32" t="s">
        <v>887</v>
      </c>
      <c r="E61" s="32" t="s">
        <v>1294</v>
      </c>
      <c r="F61" s="27"/>
      <c r="G61" s="27"/>
      <c r="H61" s="27"/>
    </row>
    <row r="62" spans="1:8">
      <c r="A62" s="32">
        <v>3</v>
      </c>
      <c r="B62" s="32" t="s">
        <v>1296</v>
      </c>
      <c r="C62" s="6" t="s">
        <v>76</v>
      </c>
      <c r="D62" s="32" t="s">
        <v>72</v>
      </c>
      <c r="E62" s="32" t="s">
        <v>1294</v>
      </c>
      <c r="F62" s="27"/>
      <c r="G62" s="27"/>
      <c r="H62" s="27"/>
    </row>
    <row r="63" spans="1:8">
      <c r="A63" s="32">
        <v>4</v>
      </c>
      <c r="B63" s="32" t="s">
        <v>1297</v>
      </c>
      <c r="C63" s="6" t="s">
        <v>72</v>
      </c>
      <c r="D63" s="32" t="s">
        <v>887</v>
      </c>
      <c r="E63" s="32" t="s">
        <v>1294</v>
      </c>
      <c r="F63" s="27"/>
      <c r="G63" s="27"/>
      <c r="H63" s="27"/>
    </row>
    <row r="64" spans="1:8">
      <c r="A64" s="33"/>
      <c r="B64" s="33"/>
      <c r="C64" s="34"/>
      <c r="D64" s="33"/>
      <c r="E64" s="33"/>
      <c r="F64" s="27"/>
      <c r="G64" s="27"/>
      <c r="H64" s="27"/>
    </row>
    <row r="65" spans="1:8">
      <c r="A65" s="33"/>
      <c r="B65" s="33"/>
      <c r="C65" s="34"/>
      <c r="D65" s="33"/>
      <c r="E65" s="33"/>
      <c r="F65" s="27"/>
      <c r="G65" s="27"/>
      <c r="H65" s="27"/>
    </row>
    <row r="66" spans="1:8">
      <c r="A66" s="33"/>
      <c r="B66" s="33"/>
      <c r="C66" s="34"/>
      <c r="D66" s="33"/>
      <c r="E66" s="33"/>
      <c r="F66" s="27"/>
      <c r="G66" s="27"/>
      <c r="H66" s="27"/>
    </row>
    <row r="67" spans="1:8">
      <c r="A67" s="27"/>
      <c r="B67" s="27"/>
      <c r="C67" s="27"/>
      <c r="D67" s="27"/>
      <c r="E67" s="27"/>
      <c r="F67" s="27"/>
      <c r="G67" s="27"/>
      <c r="H67" s="27"/>
    </row>
    <row r="68" spans="1:8">
      <c r="A68" s="27"/>
      <c r="B68" s="27"/>
      <c r="C68" s="27"/>
      <c r="D68" s="27"/>
      <c r="E68" s="27"/>
      <c r="F68" s="27"/>
      <c r="G68" s="27"/>
      <c r="H68" s="27"/>
    </row>
    <row r="69" spans="1:8">
      <c r="A69" s="27"/>
      <c r="B69" s="27"/>
      <c r="C69" s="27"/>
      <c r="D69" s="27"/>
      <c r="E69" s="27"/>
      <c r="F69" s="27"/>
      <c r="G69" s="27"/>
      <c r="H69" s="27"/>
    </row>
    <row r="70" spans="1:8">
      <c r="A70" s="27"/>
      <c r="B70" s="27"/>
      <c r="C70" s="27"/>
      <c r="D70" s="27"/>
      <c r="E70" s="27"/>
      <c r="F70" s="27"/>
      <c r="G70" s="27"/>
      <c r="H70" s="27"/>
    </row>
    <row r="71" spans="1:8">
      <c r="A71" s="27"/>
      <c r="B71" s="27"/>
      <c r="C71" s="27"/>
      <c r="D71" s="27"/>
      <c r="E71" s="27"/>
      <c r="F71" s="27"/>
      <c r="G71" s="27"/>
      <c r="H71" s="27"/>
    </row>
    <row r="72" spans="1:8">
      <c r="A72" s="27"/>
      <c r="B72" s="27"/>
      <c r="C72" s="27"/>
      <c r="D72" s="27"/>
      <c r="E72" s="27"/>
      <c r="F72" s="27"/>
      <c r="G72" s="27"/>
      <c r="H72" s="27"/>
    </row>
    <row r="73" spans="1:8">
      <c r="A73" s="27"/>
      <c r="B73" s="27"/>
      <c r="C73" s="27"/>
      <c r="D73" s="27"/>
      <c r="E73" s="27"/>
      <c r="F73" s="27"/>
      <c r="G73" s="27"/>
      <c r="H73" s="27"/>
    </row>
    <row r="74" spans="1:8">
      <c r="A74" s="27"/>
      <c r="B74" s="27"/>
      <c r="C74" s="27"/>
      <c r="D74" s="27"/>
      <c r="E74" s="27"/>
      <c r="F74" s="27"/>
      <c r="G74" s="27"/>
      <c r="H74" s="27"/>
    </row>
    <row r="75" spans="1:8">
      <c r="A75" s="27"/>
      <c r="B75" s="27"/>
      <c r="C75" s="27"/>
      <c r="D75" s="27"/>
      <c r="E75" s="27"/>
      <c r="F75" s="27"/>
      <c r="G75" s="27"/>
      <c r="H75" s="27"/>
    </row>
    <row r="76" spans="1:8">
      <c r="A76" s="27"/>
      <c r="B76" s="27"/>
      <c r="C76" s="27"/>
      <c r="D76" s="27"/>
      <c r="E76" s="27"/>
      <c r="F76" s="27"/>
      <c r="G76" s="27"/>
      <c r="H76" s="27"/>
    </row>
    <row r="77" spans="1:8">
      <c r="A77" s="27"/>
      <c r="B77" s="27"/>
      <c r="C77" s="27"/>
      <c r="D77" s="27"/>
      <c r="E77" s="27"/>
      <c r="F77" s="27"/>
      <c r="G77" s="27"/>
      <c r="H77" s="27"/>
    </row>
    <row r="78" spans="1:8">
      <c r="A78" s="27"/>
      <c r="B78" s="27"/>
      <c r="C78" s="27"/>
      <c r="D78" s="27"/>
      <c r="E78" s="27"/>
      <c r="F78" s="27"/>
      <c r="G78" s="27"/>
      <c r="H78" s="27"/>
    </row>
    <row r="79" spans="1:8">
      <c r="A79" s="27"/>
      <c r="B79" s="27"/>
      <c r="C79" s="27"/>
      <c r="D79" s="27"/>
      <c r="E79" s="27"/>
      <c r="F79" s="27"/>
      <c r="G79" s="27"/>
      <c r="H79" s="27"/>
    </row>
    <row r="80" spans="1:8">
      <c r="A80" s="27"/>
      <c r="B80" s="27"/>
      <c r="C80" s="27"/>
      <c r="D80" s="27"/>
      <c r="E80" s="27"/>
      <c r="F80" s="27"/>
      <c r="G80" s="27"/>
      <c r="H80" s="27"/>
    </row>
    <row r="81" spans="1:8">
      <c r="A81" s="27"/>
      <c r="B81" s="27"/>
      <c r="C81" s="27"/>
      <c r="D81" s="27"/>
      <c r="E81" s="27"/>
      <c r="F81" s="27"/>
      <c r="G81" s="27"/>
      <c r="H81" s="27"/>
    </row>
    <row r="82" spans="1:8">
      <c r="A82" s="27"/>
      <c r="B82" s="27"/>
      <c r="C82" s="27"/>
      <c r="D82" s="27"/>
      <c r="E82" s="27"/>
      <c r="F82" s="27"/>
      <c r="G82" s="27"/>
      <c r="H82" s="27"/>
    </row>
    <row r="83" spans="1:8">
      <c r="A83" s="27"/>
      <c r="B83" s="27"/>
      <c r="C83" s="27"/>
      <c r="D83" s="27"/>
      <c r="E83" s="27"/>
      <c r="F83" s="27"/>
      <c r="G83" s="27"/>
      <c r="H83" s="27"/>
    </row>
    <row r="84" spans="1:8">
      <c r="A84" s="27"/>
      <c r="B84" s="27"/>
      <c r="C84" s="27"/>
      <c r="D84" s="27"/>
      <c r="E84" s="27"/>
      <c r="F84" s="27"/>
      <c r="G84" s="27"/>
      <c r="H84" s="27"/>
    </row>
    <row r="85" spans="1:8">
      <c r="A85" s="27"/>
      <c r="B85" s="27"/>
      <c r="C85" s="27"/>
      <c r="D85" s="27"/>
      <c r="E85" s="27"/>
      <c r="F85" s="27"/>
      <c r="G85" s="27"/>
      <c r="H85" s="27"/>
    </row>
    <row r="86" spans="1:8">
      <c r="A86" s="27"/>
      <c r="B86" s="27"/>
      <c r="C86" s="27"/>
      <c r="D86" s="27"/>
      <c r="E86" s="27"/>
      <c r="F86" s="27"/>
      <c r="G86" s="27"/>
      <c r="H86" s="27"/>
    </row>
    <row r="87" spans="1:8">
      <c r="A87" s="27"/>
      <c r="B87" s="27"/>
      <c r="C87" s="27"/>
      <c r="D87" s="27"/>
      <c r="E87" s="27"/>
      <c r="F87" s="27"/>
      <c r="G87" s="27"/>
      <c r="H87" s="27"/>
    </row>
    <row r="88" spans="1:8">
      <c r="A88" s="27"/>
      <c r="B88" s="27"/>
      <c r="C88" s="27"/>
      <c r="D88" s="27"/>
      <c r="E88" s="27"/>
      <c r="F88" s="27"/>
      <c r="G88" s="27"/>
      <c r="H88" s="27"/>
    </row>
    <row r="89" spans="1:8">
      <c r="A89" s="27"/>
      <c r="B89" s="27"/>
      <c r="C89" s="27"/>
      <c r="D89" s="27"/>
      <c r="E89" s="27"/>
      <c r="F89" s="27"/>
      <c r="G89" s="27"/>
      <c r="H89" s="27"/>
    </row>
    <row r="90" spans="1:8">
      <c r="A90" s="27"/>
      <c r="B90" s="27"/>
      <c r="C90" s="27"/>
      <c r="D90" s="27"/>
      <c r="E90" s="27"/>
      <c r="F90" s="27"/>
      <c r="G90" s="27"/>
      <c r="H90" s="27"/>
    </row>
    <row r="91" spans="1:8">
      <c r="A91" s="27"/>
      <c r="B91" s="27"/>
      <c r="C91" s="27"/>
      <c r="D91" s="27"/>
      <c r="E91" s="27"/>
      <c r="F91" s="27"/>
      <c r="G91" s="27"/>
      <c r="H91" s="27"/>
    </row>
    <row r="92" spans="1:8">
      <c r="A92" s="27"/>
      <c r="B92" s="27"/>
      <c r="C92" s="27"/>
      <c r="D92" s="27"/>
      <c r="E92" s="27"/>
      <c r="F92" s="27"/>
      <c r="G92" s="27"/>
      <c r="H92" s="27"/>
    </row>
    <row r="93" spans="1:8">
      <c r="A93" s="27"/>
      <c r="B93" s="27"/>
      <c r="C93" s="27"/>
      <c r="D93" s="27"/>
      <c r="E93" s="27"/>
      <c r="F93" s="27"/>
      <c r="G93" s="27"/>
      <c r="H93" s="27"/>
    </row>
    <row r="94" spans="1:8">
      <c r="A94" s="27"/>
      <c r="B94" s="27"/>
      <c r="C94" s="27"/>
      <c r="D94" s="27"/>
      <c r="E94" s="27"/>
      <c r="F94" s="27"/>
      <c r="G94" s="27"/>
      <c r="H94" s="27"/>
    </row>
    <row r="95" spans="1:8">
      <c r="A95" s="27"/>
      <c r="B95" s="27"/>
      <c r="C95" s="27"/>
      <c r="D95" s="27"/>
      <c r="E95" s="27"/>
      <c r="F95" s="27"/>
      <c r="G95" s="27"/>
      <c r="H95" s="27"/>
    </row>
    <row r="96" spans="1:8">
      <c r="A96" s="27"/>
      <c r="B96" s="27"/>
      <c r="C96" s="27"/>
      <c r="D96" s="27"/>
      <c r="E96" s="27"/>
      <c r="F96" s="27"/>
      <c r="G96" s="27"/>
      <c r="H96" s="27"/>
    </row>
    <row r="97" spans="1:8">
      <c r="A97" s="27"/>
      <c r="B97" s="27"/>
      <c r="C97" s="27"/>
      <c r="D97" s="27"/>
      <c r="E97" s="27"/>
      <c r="F97" s="27"/>
      <c r="G97" s="27"/>
      <c r="H97" s="27"/>
    </row>
    <row r="98" spans="1:8">
      <c r="A98" s="27"/>
      <c r="B98" s="27"/>
      <c r="C98" s="27"/>
      <c r="D98" s="27"/>
      <c r="E98" s="27"/>
      <c r="F98" s="27"/>
      <c r="G98" s="27"/>
      <c r="H98" s="27"/>
    </row>
    <row r="99" spans="1:8">
      <c r="A99" s="27"/>
      <c r="B99" s="27"/>
      <c r="C99" s="27"/>
      <c r="D99" s="27"/>
      <c r="E99" s="27"/>
      <c r="F99" s="27"/>
      <c r="G99" s="27"/>
      <c r="H99" s="27"/>
    </row>
    <row r="100" spans="1:8">
      <c r="A100" s="27"/>
      <c r="B100" s="27"/>
      <c r="C100" s="27"/>
      <c r="D100" s="27"/>
      <c r="E100" s="27"/>
      <c r="F100" s="27"/>
      <c r="G100" s="27"/>
      <c r="H100" s="27"/>
    </row>
    <row r="101" spans="1:8">
      <c r="A101" s="27"/>
      <c r="B101" s="27"/>
      <c r="C101" s="27"/>
      <c r="D101" s="27"/>
      <c r="E101" s="27"/>
      <c r="F101" s="27"/>
      <c r="G101" s="27"/>
      <c r="H101" s="27"/>
    </row>
    <row r="102" spans="1:8">
      <c r="A102" s="27"/>
      <c r="B102" s="27"/>
      <c r="C102" s="27"/>
      <c r="D102" s="27"/>
      <c r="E102" s="27"/>
      <c r="F102" s="27"/>
      <c r="G102" s="27"/>
      <c r="H102" s="27"/>
    </row>
    <row r="103" spans="1:8">
      <c r="A103" s="27"/>
      <c r="B103" s="27"/>
      <c r="C103" s="27"/>
      <c r="D103" s="27"/>
      <c r="E103" s="27"/>
      <c r="F103" s="27"/>
      <c r="G103" s="27"/>
      <c r="H103" s="27"/>
    </row>
    <row r="104" spans="1:8">
      <c r="A104" s="27"/>
      <c r="B104" s="27"/>
      <c r="C104" s="27"/>
      <c r="D104" s="27"/>
      <c r="E104" s="27"/>
      <c r="F104" s="27"/>
      <c r="G104" s="27"/>
      <c r="H104" s="27"/>
    </row>
    <row r="105" spans="1:8">
      <c r="A105" s="27"/>
      <c r="B105" s="27"/>
      <c r="C105" s="27"/>
      <c r="D105" s="27"/>
      <c r="E105" s="27"/>
      <c r="F105" s="27"/>
      <c r="G105" s="27"/>
      <c r="H105" s="27"/>
    </row>
    <row r="106" spans="1:8">
      <c r="A106" s="27"/>
      <c r="B106" s="27"/>
      <c r="C106" s="27"/>
      <c r="D106" s="27"/>
      <c r="E106" s="27"/>
      <c r="F106" s="27"/>
      <c r="G106" s="27"/>
      <c r="H106" s="27"/>
    </row>
    <row r="107" spans="1:8">
      <c r="A107" s="27"/>
      <c r="B107" s="27"/>
      <c r="C107" s="27"/>
      <c r="D107" s="27"/>
      <c r="E107" s="27"/>
      <c r="F107" s="27"/>
      <c r="G107" s="27"/>
      <c r="H107" s="27"/>
    </row>
    <row r="108" spans="1:8">
      <c r="A108" s="27"/>
      <c r="B108" s="27"/>
      <c r="C108" s="27"/>
      <c r="D108" s="27"/>
      <c r="E108" s="27"/>
      <c r="F108" s="27"/>
      <c r="G108" s="27"/>
      <c r="H108" s="27"/>
    </row>
    <row r="109" spans="1:8">
      <c r="A109" s="27"/>
      <c r="B109" s="27"/>
      <c r="C109" s="27"/>
      <c r="D109" s="27"/>
      <c r="E109" s="27"/>
      <c r="F109" s="27"/>
      <c r="G109" s="27"/>
      <c r="H109" s="27"/>
    </row>
    <row r="110" spans="1:8">
      <c r="A110" s="27"/>
      <c r="B110" s="27"/>
      <c r="C110" s="27"/>
      <c r="D110" s="27"/>
      <c r="E110" s="27"/>
      <c r="F110" s="27"/>
      <c r="G110" s="27"/>
      <c r="H110" s="27"/>
    </row>
    <row r="111" spans="1:8">
      <c r="A111" s="27"/>
      <c r="B111" s="27"/>
      <c r="C111" s="27"/>
      <c r="D111" s="27"/>
      <c r="E111" s="27"/>
      <c r="F111" s="27"/>
      <c r="G111" s="27"/>
      <c r="H111" s="27"/>
    </row>
    <row r="112" spans="1:8">
      <c r="A112" s="27"/>
      <c r="B112" s="27"/>
      <c r="C112" s="27"/>
      <c r="D112" s="27"/>
      <c r="E112" s="27"/>
      <c r="F112" s="27"/>
      <c r="G112" s="27"/>
      <c r="H112" s="27"/>
    </row>
    <row r="113" spans="1:8">
      <c r="A113" s="27"/>
      <c r="B113" s="27"/>
      <c r="C113" s="27"/>
      <c r="D113" s="27"/>
      <c r="E113" s="27"/>
      <c r="F113" s="27"/>
      <c r="G113" s="27"/>
      <c r="H113" s="27"/>
    </row>
    <row r="114" spans="1:8">
      <c r="A114" s="27"/>
      <c r="B114" s="27"/>
      <c r="C114" s="27"/>
      <c r="D114" s="27"/>
      <c r="E114" s="27"/>
      <c r="F114" s="27"/>
      <c r="G114" s="27"/>
      <c r="H114" s="27"/>
    </row>
    <row r="115" spans="1:8">
      <c r="A115" s="27"/>
      <c r="B115" s="27"/>
      <c r="C115" s="27"/>
      <c r="D115" s="27"/>
      <c r="E115" s="27"/>
      <c r="F115" s="27"/>
      <c r="G115" s="27"/>
      <c r="H115" s="27"/>
    </row>
    <row r="116" spans="1:8">
      <c r="A116" s="27"/>
      <c r="B116" s="27"/>
      <c r="C116" s="27"/>
      <c r="D116" s="27"/>
      <c r="E116" s="27"/>
      <c r="F116" s="27"/>
      <c r="G116" s="27"/>
      <c r="H116" s="27"/>
    </row>
    <row r="117" spans="1:8">
      <c r="A117" s="27"/>
      <c r="B117" s="27"/>
      <c r="C117" s="27"/>
      <c r="D117" s="27"/>
      <c r="E117" s="27"/>
      <c r="F117" s="27"/>
      <c r="G117" s="27"/>
      <c r="H117" s="27"/>
    </row>
    <row r="118" spans="1:8">
      <c r="A118" s="27"/>
      <c r="B118" s="27"/>
      <c r="C118" s="27"/>
      <c r="D118" s="27"/>
      <c r="E118" s="27"/>
      <c r="F118" s="27"/>
      <c r="G118" s="27"/>
      <c r="H118" s="27"/>
    </row>
    <row r="119" spans="1:8">
      <c r="A119" s="27"/>
      <c r="B119" s="27"/>
      <c r="C119" s="27"/>
      <c r="D119" s="27"/>
      <c r="E119" s="27"/>
      <c r="F119" s="27"/>
      <c r="G119" s="27"/>
      <c r="H119" s="27"/>
    </row>
    <row r="120" spans="1:8">
      <c r="A120" s="27"/>
      <c r="B120" s="27"/>
      <c r="C120" s="27"/>
      <c r="D120" s="27"/>
      <c r="E120" s="27"/>
      <c r="F120" s="27"/>
      <c r="G120" s="27"/>
      <c r="H120" s="27"/>
    </row>
    <row r="121" spans="1:8">
      <c r="A121" s="27"/>
      <c r="B121" s="27"/>
      <c r="C121" s="27"/>
      <c r="D121" s="27"/>
      <c r="E121" s="27"/>
      <c r="F121" s="27"/>
      <c r="G121" s="27"/>
      <c r="H121" s="27"/>
    </row>
    <row r="122" spans="1:8">
      <c r="A122" s="27"/>
      <c r="B122" s="27"/>
      <c r="C122" s="27"/>
      <c r="D122" s="27"/>
      <c r="E122" s="27"/>
      <c r="F122" s="27"/>
      <c r="G122" s="27"/>
      <c r="H122" s="27"/>
    </row>
    <row r="123" spans="1:8">
      <c r="A123" s="27"/>
      <c r="B123" s="27"/>
      <c r="C123" s="27"/>
      <c r="D123" s="27"/>
      <c r="E123" s="27"/>
      <c r="F123" s="27"/>
      <c r="G123" s="27"/>
      <c r="H123" s="27"/>
    </row>
    <row r="124" spans="1:8">
      <c r="A124" s="27"/>
      <c r="B124" s="27"/>
      <c r="C124" s="27"/>
      <c r="D124" s="27"/>
      <c r="E124" s="27"/>
      <c r="F124" s="27"/>
      <c r="G124" s="27"/>
      <c r="H124" s="27"/>
    </row>
    <row r="125" spans="1:8">
      <c r="A125" s="27"/>
      <c r="B125" s="27"/>
      <c r="C125" s="27"/>
      <c r="D125" s="27"/>
      <c r="E125" s="27"/>
      <c r="F125" s="27"/>
      <c r="G125" s="27"/>
      <c r="H125" s="27"/>
    </row>
    <row r="126" spans="1:8">
      <c r="A126" s="27"/>
      <c r="B126" s="27"/>
      <c r="C126" s="27"/>
      <c r="D126" s="27"/>
      <c r="E126" s="27"/>
      <c r="F126" s="27"/>
      <c r="G126" s="27"/>
      <c r="H126" s="27"/>
    </row>
    <row r="127" spans="1:8">
      <c r="A127" s="27"/>
      <c r="B127" s="27"/>
      <c r="C127" s="27"/>
      <c r="D127" s="27"/>
      <c r="E127" s="27"/>
      <c r="F127" s="27"/>
      <c r="G127" s="27"/>
      <c r="H127" s="27"/>
    </row>
    <row r="128" spans="1:8">
      <c r="A128" s="27"/>
      <c r="B128" s="27"/>
      <c r="C128" s="27"/>
      <c r="D128" s="27"/>
      <c r="E128" s="27"/>
      <c r="F128" s="27"/>
      <c r="G128" s="27"/>
      <c r="H128" s="27"/>
    </row>
    <row r="129" spans="1:8">
      <c r="A129" s="27"/>
      <c r="B129" s="27"/>
      <c r="C129" s="27"/>
      <c r="D129" s="27"/>
      <c r="E129" s="27"/>
      <c r="F129" s="27"/>
      <c r="G129" s="27"/>
      <c r="H129" s="27"/>
    </row>
    <row r="130" spans="1:8">
      <c r="A130" s="27"/>
      <c r="B130" s="27"/>
      <c r="C130" s="27"/>
      <c r="D130" s="27"/>
      <c r="E130" s="27"/>
      <c r="F130" s="27"/>
      <c r="G130" s="27"/>
      <c r="H130" s="27"/>
    </row>
    <row r="131" spans="1:8">
      <c r="A131" s="27"/>
      <c r="B131" s="27"/>
      <c r="C131" s="27"/>
      <c r="D131" s="27"/>
      <c r="E131" s="27"/>
      <c r="F131" s="27"/>
      <c r="G131" s="27"/>
      <c r="H131" s="27"/>
    </row>
    <row r="132" spans="1:8">
      <c r="A132" s="27"/>
      <c r="B132" s="27"/>
      <c r="C132" s="27"/>
      <c r="D132" s="27"/>
      <c r="E132" s="27"/>
      <c r="F132" s="27"/>
      <c r="G132" s="27"/>
      <c r="H132" s="27"/>
    </row>
    <row r="133" spans="1:8">
      <c r="A133" s="27"/>
      <c r="B133" s="27"/>
      <c r="C133" s="27"/>
      <c r="D133" s="27"/>
      <c r="E133" s="27"/>
      <c r="F133" s="27"/>
      <c r="G133" s="27"/>
      <c r="H133" s="27"/>
    </row>
    <row r="134" spans="1:8">
      <c r="A134" s="27"/>
      <c r="B134" s="27"/>
      <c r="C134" s="27"/>
      <c r="D134" s="27"/>
      <c r="E134" s="27"/>
      <c r="F134" s="27"/>
      <c r="G134" s="27"/>
      <c r="H134" s="27"/>
    </row>
    <row r="135" spans="1:8">
      <c r="A135" s="27"/>
      <c r="B135" s="27"/>
      <c r="C135" s="27"/>
      <c r="D135" s="27"/>
      <c r="E135" s="27"/>
      <c r="F135" s="27"/>
      <c r="G135" s="27"/>
      <c r="H135" s="27"/>
    </row>
    <row r="136" spans="1:8">
      <c r="A136" s="27"/>
      <c r="B136" s="27"/>
      <c r="C136" s="27"/>
      <c r="D136" s="27"/>
      <c r="E136" s="27"/>
      <c r="F136" s="27"/>
      <c r="G136" s="27"/>
      <c r="H136" s="27"/>
    </row>
    <row r="137" spans="1:8">
      <c r="A137" s="27"/>
      <c r="B137" s="27"/>
      <c r="C137" s="27"/>
      <c r="D137" s="27"/>
      <c r="E137" s="27"/>
      <c r="F137" s="27"/>
      <c r="G137" s="27"/>
      <c r="H137" s="27"/>
    </row>
    <row r="138" spans="1:8">
      <c r="A138" s="27"/>
      <c r="B138" s="27"/>
      <c r="C138" s="27"/>
      <c r="D138" s="27"/>
      <c r="E138" s="27"/>
      <c r="F138" s="27"/>
      <c r="G138" s="27"/>
      <c r="H138" s="27"/>
    </row>
    <row r="139" spans="1:8">
      <c r="A139" s="27"/>
      <c r="B139" s="27"/>
      <c r="C139" s="27"/>
      <c r="D139" s="27"/>
      <c r="E139" s="27"/>
      <c r="F139" s="27"/>
      <c r="G139" s="27"/>
      <c r="H139" s="27"/>
    </row>
    <row r="140" spans="1:8">
      <c r="A140" s="27"/>
      <c r="B140" s="27"/>
      <c r="C140" s="27"/>
      <c r="D140" s="27"/>
      <c r="E140" s="27"/>
      <c r="F140" s="27"/>
      <c r="G140" s="27"/>
      <c r="H140" s="27"/>
    </row>
    <row r="141" spans="1:8">
      <c r="A141" s="27"/>
      <c r="B141" s="27"/>
      <c r="C141" s="27"/>
      <c r="D141" s="27"/>
      <c r="E141" s="27"/>
      <c r="F141" s="27"/>
      <c r="G141" s="27"/>
      <c r="H141" s="27"/>
    </row>
    <row r="142" spans="1:8">
      <c r="A142" s="27"/>
      <c r="B142" s="27"/>
      <c r="C142" s="27"/>
      <c r="D142" s="27"/>
      <c r="E142" s="27"/>
      <c r="F142" s="27"/>
      <c r="G142" s="27"/>
      <c r="H142" s="27"/>
    </row>
    <row r="143" spans="1:8">
      <c r="A143" s="27"/>
      <c r="B143" s="27"/>
      <c r="C143" s="27"/>
      <c r="D143" s="27"/>
      <c r="E143" s="27"/>
      <c r="F143" s="27"/>
      <c r="G143" s="27"/>
      <c r="H143" s="27"/>
    </row>
    <row r="144" spans="1:8">
      <c r="A144" s="27"/>
      <c r="B144" s="27"/>
      <c r="C144" s="27"/>
      <c r="D144" s="27"/>
      <c r="E144" s="27"/>
      <c r="F144" s="27"/>
      <c r="G144" s="27"/>
      <c r="H144" s="27"/>
    </row>
    <row r="145" spans="1:8">
      <c r="A145" s="27"/>
      <c r="B145" s="27"/>
      <c r="C145" s="27"/>
      <c r="D145" s="27"/>
      <c r="E145" s="27"/>
      <c r="F145" s="27"/>
      <c r="G145" s="27"/>
      <c r="H145" s="27"/>
    </row>
    <row r="146" spans="1:8">
      <c r="A146" s="27"/>
      <c r="B146" s="27"/>
      <c r="C146" s="27"/>
      <c r="D146" s="27"/>
      <c r="E146" s="27"/>
      <c r="F146" s="27"/>
      <c r="G146" s="27"/>
      <c r="H146" s="27"/>
    </row>
    <row r="147" spans="1:8">
      <c r="A147" s="27"/>
      <c r="B147" s="27"/>
      <c r="C147" s="27"/>
      <c r="D147" s="27"/>
      <c r="E147" s="27"/>
      <c r="F147" s="27"/>
      <c r="G147" s="27"/>
      <c r="H147" s="27"/>
    </row>
    <row r="148" spans="1:8">
      <c r="A148" s="27"/>
      <c r="B148" s="27"/>
      <c r="C148" s="27"/>
      <c r="D148" s="27"/>
      <c r="E148" s="27"/>
      <c r="F148" s="27"/>
      <c r="G148" s="27"/>
      <c r="H148" s="27"/>
    </row>
    <row r="149" spans="1:8">
      <c r="A149" s="27"/>
      <c r="B149" s="27"/>
      <c r="C149" s="27"/>
      <c r="D149" s="27"/>
      <c r="E149" s="27"/>
      <c r="F149" s="27"/>
      <c r="G149" s="27"/>
      <c r="H149" s="27"/>
    </row>
    <row r="150" spans="1:8">
      <c r="A150" s="27"/>
      <c r="B150" s="27"/>
      <c r="C150" s="27"/>
      <c r="D150" s="27"/>
      <c r="E150" s="27"/>
      <c r="F150" s="27"/>
      <c r="G150" s="27"/>
      <c r="H150" s="27"/>
    </row>
    <row r="151" spans="1:8">
      <c r="A151" s="27"/>
      <c r="B151" s="27"/>
      <c r="C151" s="27"/>
      <c r="D151" s="27"/>
      <c r="E151" s="27"/>
      <c r="F151" s="27"/>
      <c r="G151" s="27"/>
      <c r="H151" s="27"/>
    </row>
    <row r="152" spans="1:8">
      <c r="A152" s="27"/>
      <c r="B152" s="27"/>
      <c r="C152" s="27"/>
      <c r="D152" s="27"/>
      <c r="E152" s="27"/>
      <c r="F152" s="27"/>
      <c r="G152" s="27"/>
      <c r="H152" s="27"/>
    </row>
    <row r="153" spans="1:8">
      <c r="A153" s="27"/>
      <c r="B153" s="27"/>
      <c r="C153" s="27"/>
      <c r="D153" s="27"/>
      <c r="E153" s="27"/>
      <c r="F153" s="27"/>
      <c r="G153" s="27"/>
      <c r="H153" s="27"/>
    </row>
    <row r="154" spans="1:8">
      <c r="A154" s="27"/>
      <c r="B154" s="27"/>
      <c r="C154" s="27"/>
      <c r="D154" s="27"/>
      <c r="E154" s="27"/>
      <c r="F154" s="27"/>
      <c r="G154" s="27"/>
      <c r="H154" s="27"/>
    </row>
    <row r="155" spans="1:8">
      <c r="A155" s="27"/>
      <c r="B155" s="27"/>
      <c r="C155" s="27"/>
      <c r="D155" s="27"/>
      <c r="E155" s="27"/>
      <c r="F155" s="27"/>
      <c r="G155" s="27"/>
      <c r="H155" s="27"/>
    </row>
    <row r="156" spans="1:8">
      <c r="A156" s="27"/>
      <c r="B156" s="27"/>
      <c r="C156" s="27"/>
      <c r="D156" s="27"/>
      <c r="E156" s="27"/>
      <c r="F156" s="27"/>
      <c r="G156" s="27"/>
      <c r="H156" s="27"/>
    </row>
    <row r="157" spans="1:8">
      <c r="A157" s="27"/>
      <c r="B157" s="27"/>
      <c r="C157" s="27"/>
      <c r="D157" s="27"/>
      <c r="E157" s="27"/>
      <c r="F157" s="27"/>
      <c r="G157" s="27"/>
      <c r="H157" s="27"/>
    </row>
    <row r="158" spans="1:8">
      <c r="A158" s="27"/>
      <c r="B158" s="27"/>
      <c r="C158" s="27"/>
      <c r="D158" s="27"/>
      <c r="E158" s="27"/>
      <c r="F158" s="27"/>
      <c r="G158" s="27"/>
      <c r="H158" s="27"/>
    </row>
    <row r="159" spans="1:8">
      <c r="A159" s="27"/>
      <c r="B159" s="27"/>
      <c r="C159" s="27"/>
      <c r="D159" s="27"/>
      <c r="E159" s="27"/>
      <c r="F159" s="27"/>
      <c r="G159" s="27"/>
      <c r="H159" s="27"/>
    </row>
    <row r="160" spans="1:8">
      <c r="A160" s="27"/>
      <c r="B160" s="27"/>
      <c r="C160" s="27"/>
      <c r="D160" s="27"/>
      <c r="E160" s="27"/>
      <c r="F160" s="27"/>
      <c r="G160" s="27"/>
      <c r="H160" s="27"/>
    </row>
    <row r="161" spans="1:8">
      <c r="A161" s="27"/>
      <c r="B161" s="27"/>
      <c r="C161" s="27"/>
      <c r="D161" s="27"/>
      <c r="E161" s="27"/>
      <c r="F161" s="27"/>
      <c r="G161" s="27"/>
      <c r="H161" s="27"/>
    </row>
    <row r="162" spans="1:8">
      <c r="A162" s="27"/>
      <c r="B162" s="27"/>
      <c r="C162" s="27"/>
      <c r="D162" s="27"/>
      <c r="E162" s="27"/>
      <c r="F162" s="27"/>
      <c r="G162" s="27"/>
      <c r="H162" s="27"/>
    </row>
    <row r="163" spans="1:8">
      <c r="A163" s="27"/>
      <c r="B163" s="27"/>
      <c r="C163" s="27"/>
      <c r="D163" s="27"/>
      <c r="E163" s="27"/>
      <c r="F163" s="27"/>
      <c r="G163" s="27"/>
      <c r="H163" s="27"/>
    </row>
    <row r="164" spans="1:8">
      <c r="A164" s="27"/>
      <c r="B164" s="27"/>
      <c r="C164" s="27"/>
      <c r="D164" s="27"/>
      <c r="E164" s="27"/>
      <c r="F164" s="27"/>
      <c r="G164" s="27"/>
      <c r="H164" s="27"/>
    </row>
    <row r="165" spans="1:8">
      <c r="A165" s="27"/>
      <c r="B165" s="27"/>
      <c r="C165" s="27"/>
      <c r="D165" s="27"/>
      <c r="E165" s="27"/>
      <c r="F165" s="27"/>
      <c r="G165" s="27"/>
      <c r="H165" s="27"/>
    </row>
    <row r="166" spans="1:8">
      <c r="A166" s="27"/>
      <c r="B166" s="27"/>
      <c r="C166" s="27"/>
      <c r="D166" s="27"/>
      <c r="E166" s="27"/>
      <c r="F166" s="27"/>
      <c r="G166" s="27"/>
      <c r="H166" s="27"/>
    </row>
    <row r="167" spans="1:8">
      <c r="A167" s="27"/>
      <c r="B167" s="27"/>
      <c r="C167" s="27"/>
      <c r="D167" s="27"/>
      <c r="E167" s="27"/>
      <c r="F167" s="27"/>
      <c r="G167" s="27"/>
      <c r="H167" s="27"/>
    </row>
    <row r="168" spans="1:8">
      <c r="A168" s="27"/>
      <c r="B168" s="27"/>
      <c r="C168" s="27"/>
      <c r="D168" s="27"/>
      <c r="E168" s="27"/>
      <c r="F168" s="27"/>
      <c r="G168" s="27"/>
      <c r="H168" s="27"/>
    </row>
    <row r="169" spans="1:8">
      <c r="A169" s="27"/>
      <c r="B169" s="27"/>
      <c r="C169" s="27"/>
      <c r="D169" s="27"/>
      <c r="E169" s="27"/>
      <c r="F169" s="27"/>
      <c r="G169" s="27"/>
      <c r="H169" s="27"/>
    </row>
    <row r="170" spans="1:8">
      <c r="A170" s="27"/>
      <c r="B170" s="27"/>
      <c r="C170" s="27"/>
      <c r="D170" s="27"/>
      <c r="E170" s="27"/>
      <c r="F170" s="27"/>
      <c r="G170" s="27"/>
      <c r="H170" s="27"/>
    </row>
    <row r="171" spans="1:8">
      <c r="A171" s="27"/>
      <c r="B171" s="27"/>
      <c r="C171" s="27"/>
      <c r="D171" s="27"/>
      <c r="E171" s="27"/>
      <c r="F171" s="27"/>
      <c r="G171" s="27"/>
      <c r="H171" s="27"/>
    </row>
    <row r="172" spans="1:8">
      <c r="A172" s="27"/>
      <c r="B172" s="27"/>
      <c r="C172" s="27"/>
      <c r="D172" s="27"/>
      <c r="E172" s="27"/>
      <c r="F172" s="27"/>
      <c r="G172" s="27"/>
      <c r="H172" s="27"/>
    </row>
    <row r="173" spans="1:8">
      <c r="A173" s="27"/>
      <c r="B173" s="27"/>
      <c r="C173" s="27"/>
      <c r="D173" s="27"/>
      <c r="E173" s="27"/>
      <c r="F173" s="27"/>
      <c r="G173" s="27"/>
      <c r="H173" s="27"/>
    </row>
    <row r="174" spans="1:8">
      <c r="A174" s="27"/>
      <c r="B174" s="27"/>
      <c r="C174" s="27"/>
      <c r="D174" s="27"/>
      <c r="E174" s="27"/>
      <c r="F174" s="27"/>
      <c r="G174" s="27"/>
      <c r="H174" s="27"/>
    </row>
    <row r="175" spans="1:8">
      <c r="A175" s="27"/>
      <c r="B175" s="27"/>
      <c r="C175" s="27"/>
      <c r="D175" s="27"/>
      <c r="E175" s="27"/>
      <c r="F175" s="27"/>
      <c r="G175" s="27"/>
      <c r="H175" s="27"/>
    </row>
    <row r="176" spans="1:8">
      <c r="A176" s="27"/>
      <c r="B176" s="27"/>
      <c r="C176" s="27"/>
      <c r="D176" s="27"/>
      <c r="E176" s="27"/>
      <c r="F176" s="27"/>
      <c r="G176" s="27"/>
      <c r="H176" s="27"/>
    </row>
    <row r="177" spans="1:8">
      <c r="A177" s="27"/>
      <c r="B177" s="27"/>
      <c r="C177" s="27"/>
      <c r="D177" s="27"/>
      <c r="E177" s="27"/>
      <c r="F177" s="27"/>
      <c r="G177" s="27"/>
      <c r="H177" s="27"/>
    </row>
    <row r="178" spans="1:8">
      <c r="A178" s="27"/>
      <c r="B178" s="27"/>
      <c r="C178" s="27"/>
      <c r="D178" s="27"/>
      <c r="E178" s="27"/>
      <c r="F178" s="27"/>
      <c r="G178" s="27"/>
      <c r="H178" s="27"/>
    </row>
    <row r="179" spans="1:8">
      <c r="A179" s="27"/>
      <c r="B179" s="27"/>
      <c r="C179" s="27"/>
      <c r="D179" s="27"/>
      <c r="E179" s="27"/>
      <c r="F179" s="27"/>
      <c r="G179" s="27"/>
      <c r="H179" s="27"/>
    </row>
    <row r="180" spans="1:8">
      <c r="A180" s="27"/>
      <c r="B180" s="27"/>
      <c r="C180" s="27"/>
      <c r="D180" s="27"/>
      <c r="E180" s="27"/>
      <c r="F180" s="27"/>
      <c r="G180" s="27"/>
      <c r="H180" s="27"/>
    </row>
    <row r="181" spans="1:8">
      <c r="A181" s="27"/>
      <c r="B181" s="27"/>
      <c r="C181" s="27"/>
      <c r="D181" s="27"/>
      <c r="E181" s="27"/>
      <c r="F181" s="27"/>
      <c r="G181" s="27"/>
      <c r="H181" s="27"/>
    </row>
    <row r="182" spans="1:8">
      <c r="A182" s="27"/>
      <c r="B182" s="27"/>
      <c r="C182" s="27"/>
      <c r="D182" s="27"/>
      <c r="E182" s="27"/>
      <c r="F182" s="27"/>
      <c r="G182" s="27"/>
      <c r="H182" s="27"/>
    </row>
    <row r="183" spans="1:8">
      <c r="A183" s="27"/>
      <c r="B183" s="27"/>
      <c r="C183" s="27"/>
      <c r="D183" s="27"/>
      <c r="E183" s="27"/>
      <c r="F183" s="27"/>
      <c r="G183" s="27"/>
      <c r="H183" s="27"/>
    </row>
    <row r="184" spans="1:8">
      <c r="A184" s="27"/>
      <c r="B184" s="27"/>
      <c r="C184" s="27"/>
      <c r="D184" s="27"/>
      <c r="E184" s="27"/>
      <c r="F184" s="27"/>
      <c r="G184" s="27"/>
      <c r="H184" s="27"/>
    </row>
    <row r="185" spans="1:8">
      <c r="A185" s="27"/>
      <c r="B185" s="27"/>
      <c r="C185" s="27"/>
      <c r="D185" s="27"/>
      <c r="E185" s="27"/>
      <c r="F185" s="27"/>
      <c r="G185" s="27"/>
      <c r="H185" s="27"/>
    </row>
    <row r="186" spans="1:8">
      <c r="A186" s="27"/>
      <c r="B186" s="27"/>
      <c r="C186" s="27"/>
      <c r="D186" s="27"/>
      <c r="E186" s="27"/>
      <c r="F186" s="27"/>
      <c r="G186" s="27"/>
      <c r="H186" s="27"/>
    </row>
    <row r="187" spans="1:8">
      <c r="A187" s="27"/>
      <c r="B187" s="27"/>
      <c r="C187" s="27"/>
      <c r="D187" s="27"/>
      <c r="E187" s="27"/>
      <c r="F187" s="27"/>
      <c r="G187" s="27"/>
      <c r="H187" s="27"/>
    </row>
    <row r="188" spans="1:8">
      <c r="A188" s="27"/>
      <c r="B188" s="27"/>
      <c r="C188" s="27"/>
      <c r="D188" s="27"/>
      <c r="E188" s="27"/>
      <c r="F188" s="27"/>
      <c r="G188" s="27"/>
      <c r="H188" s="27"/>
    </row>
    <row r="189" spans="1:8">
      <c r="A189" s="27"/>
      <c r="B189" s="27"/>
      <c r="C189" s="27"/>
      <c r="D189" s="27"/>
      <c r="E189" s="27"/>
      <c r="F189" s="27"/>
      <c r="G189" s="27"/>
      <c r="H189" s="27"/>
    </row>
    <row r="190" spans="1:8">
      <c r="A190" s="27"/>
      <c r="B190" s="27"/>
      <c r="C190" s="27"/>
      <c r="D190" s="27"/>
      <c r="E190" s="27"/>
      <c r="F190" s="27"/>
      <c r="G190" s="27"/>
      <c r="H190" s="27"/>
    </row>
    <row r="191" spans="1:8">
      <c r="A191" s="27"/>
      <c r="B191" s="27"/>
      <c r="C191" s="27"/>
      <c r="D191" s="27"/>
      <c r="E191" s="27"/>
      <c r="F191" s="27"/>
      <c r="G191" s="27"/>
      <c r="H191" s="27"/>
    </row>
    <row r="192" spans="1:8">
      <c r="A192" s="27"/>
      <c r="B192" s="27"/>
      <c r="C192" s="27"/>
      <c r="D192" s="27"/>
      <c r="E192" s="27"/>
      <c r="F192" s="27"/>
      <c r="G192" s="27"/>
      <c r="H192" s="27"/>
    </row>
    <row r="193" spans="1:8">
      <c r="A193" s="27"/>
      <c r="B193" s="27"/>
      <c r="C193" s="27"/>
      <c r="D193" s="27"/>
      <c r="E193" s="27"/>
      <c r="F193" s="27"/>
      <c r="G193" s="27"/>
      <c r="H193" s="27"/>
    </row>
    <row r="194" spans="1:8">
      <c r="A194" s="27"/>
      <c r="B194" s="27"/>
      <c r="C194" s="27"/>
      <c r="D194" s="27"/>
      <c r="E194" s="27"/>
      <c r="F194" s="27"/>
      <c r="G194" s="27"/>
      <c r="H194" s="27"/>
    </row>
    <row r="195" spans="1:8">
      <c r="A195" s="27"/>
      <c r="B195" s="27"/>
      <c r="C195" s="27"/>
      <c r="D195" s="27"/>
      <c r="E195" s="27"/>
      <c r="F195" s="27"/>
      <c r="G195" s="27"/>
      <c r="H195" s="27"/>
    </row>
    <row r="196" spans="1:8">
      <c r="A196" s="27"/>
      <c r="B196" s="27"/>
      <c r="C196" s="27"/>
      <c r="D196" s="27"/>
      <c r="E196" s="27"/>
      <c r="F196" s="27"/>
      <c r="G196" s="27"/>
      <c r="H196" s="27"/>
    </row>
    <row r="197" spans="1:8">
      <c r="A197" s="27"/>
      <c r="B197" s="27"/>
      <c r="C197" s="27"/>
      <c r="D197" s="27"/>
      <c r="E197" s="27"/>
      <c r="F197" s="27"/>
      <c r="G197" s="27"/>
      <c r="H197" s="27"/>
    </row>
    <row r="198" spans="1:8">
      <c r="A198" s="27"/>
      <c r="B198" s="27"/>
      <c r="C198" s="27"/>
      <c r="D198" s="27"/>
      <c r="E198" s="27"/>
      <c r="F198" s="27"/>
      <c r="G198" s="27"/>
      <c r="H198" s="27"/>
    </row>
    <row r="199" spans="1:8">
      <c r="A199" s="27"/>
      <c r="B199" s="27"/>
      <c r="C199" s="27"/>
      <c r="D199" s="27"/>
      <c r="E199" s="27"/>
      <c r="F199" s="27"/>
      <c r="G199" s="27"/>
      <c r="H199" s="27"/>
    </row>
    <row r="200" spans="1:8">
      <c r="A200" s="27"/>
      <c r="B200" s="27"/>
      <c r="C200" s="27"/>
      <c r="D200" s="27"/>
      <c r="E200" s="27"/>
      <c r="F200" s="27"/>
      <c r="G200" s="27"/>
      <c r="H200" s="27"/>
    </row>
    <row r="201" spans="1:8">
      <c r="A201" s="27"/>
      <c r="B201" s="27"/>
      <c r="C201" s="27"/>
      <c r="D201" s="27"/>
      <c r="E201" s="27"/>
      <c r="F201" s="27"/>
      <c r="G201" s="27"/>
      <c r="H201" s="27"/>
    </row>
    <row r="202" spans="1:8">
      <c r="A202" s="27"/>
      <c r="B202" s="27"/>
      <c r="C202" s="27"/>
      <c r="D202" s="27"/>
      <c r="E202" s="27"/>
      <c r="F202" s="27"/>
      <c r="G202" s="27"/>
      <c r="H202" s="27"/>
    </row>
    <row r="203" spans="1:8">
      <c r="A203" s="27"/>
      <c r="B203" s="27"/>
      <c r="C203" s="27"/>
      <c r="D203" s="27"/>
      <c r="E203" s="27"/>
      <c r="F203" s="27"/>
      <c r="G203" s="27"/>
      <c r="H203" s="27"/>
    </row>
    <row r="204" spans="1:8">
      <c r="A204" s="27"/>
      <c r="B204" s="27"/>
      <c r="C204" s="27"/>
      <c r="D204" s="27"/>
      <c r="E204" s="27"/>
      <c r="F204" s="27"/>
      <c r="G204" s="27"/>
      <c r="H204" s="27"/>
    </row>
    <row r="205" spans="1:8">
      <c r="A205" s="27"/>
      <c r="B205" s="27"/>
      <c r="C205" s="27"/>
      <c r="D205" s="27"/>
      <c r="E205" s="27"/>
      <c r="F205" s="27"/>
      <c r="G205" s="27"/>
      <c r="H205" s="27"/>
    </row>
    <row r="206" spans="1:8">
      <c r="A206" s="27"/>
      <c r="B206" s="27"/>
      <c r="C206" s="27"/>
      <c r="D206" s="27"/>
      <c r="E206" s="27"/>
      <c r="F206" s="27"/>
      <c r="G206" s="27"/>
      <c r="H206" s="27"/>
    </row>
    <row r="207" spans="1:8">
      <c r="A207" s="27"/>
      <c r="B207" s="27"/>
      <c r="C207" s="27"/>
      <c r="D207" s="27"/>
      <c r="E207" s="27"/>
      <c r="F207" s="27"/>
      <c r="G207" s="27"/>
      <c r="H207" s="27"/>
    </row>
    <row r="208" spans="1:8">
      <c r="A208" s="27"/>
      <c r="B208" s="27"/>
      <c r="C208" s="27"/>
      <c r="D208" s="27"/>
      <c r="E208" s="27"/>
      <c r="F208" s="27"/>
      <c r="G208" s="27"/>
      <c r="H208" s="27"/>
    </row>
    <row r="209" spans="1:8">
      <c r="A209" s="27"/>
      <c r="B209" s="27"/>
      <c r="C209" s="27"/>
      <c r="D209" s="27"/>
      <c r="E209" s="27"/>
      <c r="F209" s="27"/>
      <c r="G209" s="27"/>
      <c r="H209" s="27"/>
    </row>
    <row r="210" spans="1:8">
      <c r="A210" s="27"/>
      <c r="B210" s="27"/>
      <c r="C210" s="27"/>
      <c r="D210" s="27"/>
      <c r="E210" s="27"/>
      <c r="F210" s="27"/>
      <c r="G210" s="27"/>
      <c r="H210" s="27"/>
    </row>
    <row r="211" spans="1:8">
      <c r="A211" s="27"/>
      <c r="B211" s="27"/>
      <c r="C211" s="27"/>
      <c r="D211" s="27"/>
      <c r="E211" s="27"/>
      <c r="F211" s="27"/>
      <c r="G211" s="27"/>
      <c r="H211" s="27"/>
    </row>
    <row r="212" spans="1:8">
      <c r="A212" s="27"/>
      <c r="B212" s="27"/>
      <c r="C212" s="27"/>
      <c r="D212" s="27"/>
      <c r="E212" s="27"/>
      <c r="F212" s="27"/>
      <c r="G212" s="27"/>
      <c r="H212" s="27"/>
    </row>
    <row r="213" spans="1:8">
      <c r="A213" s="27"/>
      <c r="B213" s="27"/>
      <c r="C213" s="27"/>
      <c r="D213" s="27"/>
      <c r="E213" s="27"/>
      <c r="F213" s="27"/>
      <c r="G213" s="27"/>
      <c r="H213" s="27"/>
    </row>
    <row r="214" spans="1:8">
      <c r="A214" s="27"/>
      <c r="B214" s="27"/>
      <c r="C214" s="27"/>
      <c r="D214" s="27"/>
      <c r="E214" s="27"/>
      <c r="F214" s="27"/>
      <c r="G214" s="27"/>
      <c r="H214" s="27"/>
    </row>
    <row r="215" spans="1:8">
      <c r="A215" s="27"/>
      <c r="B215" s="27"/>
      <c r="C215" s="27"/>
      <c r="D215" s="27"/>
      <c r="E215" s="27"/>
      <c r="F215" s="27"/>
      <c r="G215" s="27"/>
      <c r="H215" s="27"/>
    </row>
    <row r="216" spans="1:8">
      <c r="A216" s="27"/>
      <c r="B216" s="27"/>
      <c r="C216" s="27"/>
      <c r="D216" s="27"/>
      <c r="E216" s="27"/>
      <c r="F216" s="27"/>
      <c r="G216" s="27"/>
      <c r="H216" s="27"/>
    </row>
    <row r="217" spans="1:8">
      <c r="A217" s="27"/>
      <c r="B217" s="27"/>
      <c r="C217" s="27"/>
      <c r="D217" s="27"/>
      <c r="E217" s="27"/>
      <c r="F217" s="27"/>
      <c r="G217" s="27"/>
      <c r="H217" s="27"/>
    </row>
    <row r="218" spans="1:8">
      <c r="A218" s="27"/>
      <c r="B218" s="27"/>
      <c r="C218" s="27"/>
      <c r="D218" s="27"/>
      <c r="E218" s="27"/>
      <c r="F218" s="27"/>
      <c r="G218" s="27"/>
      <c r="H218" s="27"/>
    </row>
    <row r="219" spans="1:8">
      <c r="A219" s="27"/>
      <c r="B219" s="27"/>
      <c r="C219" s="27"/>
      <c r="D219" s="27"/>
      <c r="E219" s="27"/>
      <c r="F219" s="27"/>
      <c r="G219" s="27"/>
      <c r="H219" s="27"/>
    </row>
    <row r="220" spans="1:8">
      <c r="A220" s="27"/>
      <c r="B220" s="27"/>
      <c r="C220" s="27"/>
      <c r="D220" s="27"/>
      <c r="E220" s="27"/>
      <c r="F220" s="27"/>
      <c r="G220" s="27"/>
      <c r="H220" s="27"/>
    </row>
    <row r="221" spans="1:8">
      <c r="A221" s="27"/>
      <c r="B221" s="27"/>
      <c r="C221" s="27"/>
      <c r="D221" s="27"/>
      <c r="E221" s="27"/>
      <c r="F221" s="27"/>
      <c r="G221" s="27"/>
      <c r="H221" s="27"/>
    </row>
    <row r="222" spans="1:8">
      <c r="A222" s="27"/>
      <c r="B222" s="27"/>
      <c r="C222" s="27"/>
      <c r="D222" s="27"/>
      <c r="E222" s="27"/>
      <c r="F222" s="27"/>
      <c r="G222" s="27"/>
      <c r="H222" s="27"/>
    </row>
    <row r="223" spans="1:8">
      <c r="A223" s="27"/>
      <c r="B223" s="27"/>
      <c r="C223" s="27"/>
      <c r="D223" s="27"/>
      <c r="E223" s="27"/>
      <c r="F223" s="27"/>
      <c r="G223" s="27"/>
      <c r="H223" s="27"/>
    </row>
    <row r="224" spans="1:8">
      <c r="A224" s="27"/>
      <c r="B224" s="27"/>
      <c r="C224" s="27"/>
      <c r="D224" s="27"/>
      <c r="E224" s="27"/>
      <c r="F224" s="27"/>
      <c r="G224" s="27"/>
      <c r="H224" s="27"/>
    </row>
    <row r="225" spans="1:8">
      <c r="A225" s="27"/>
      <c r="B225" s="27"/>
      <c r="C225" s="27"/>
      <c r="D225" s="27"/>
      <c r="E225" s="27"/>
      <c r="F225" s="27"/>
      <c r="G225" s="27"/>
      <c r="H225" s="27"/>
    </row>
    <row r="226" spans="1:8">
      <c r="A226" s="27"/>
      <c r="B226" s="27"/>
      <c r="C226" s="27"/>
      <c r="D226" s="27"/>
      <c r="E226" s="27"/>
      <c r="F226" s="27"/>
      <c r="G226" s="27"/>
      <c r="H226" s="27"/>
    </row>
    <row r="227" spans="1:8">
      <c r="A227" s="27"/>
      <c r="B227" s="27"/>
      <c r="C227" s="27"/>
      <c r="D227" s="27"/>
      <c r="E227" s="27"/>
      <c r="F227" s="27"/>
      <c r="G227" s="27"/>
      <c r="H227" s="27"/>
    </row>
    <row r="228" spans="1:8">
      <c r="A228" s="27"/>
      <c r="B228" s="27"/>
      <c r="C228" s="27"/>
      <c r="D228" s="27"/>
      <c r="E228" s="27"/>
      <c r="F228" s="27"/>
      <c r="G228" s="27"/>
      <c r="H228" s="27"/>
    </row>
    <row r="229" spans="1:8">
      <c r="A229" s="27"/>
      <c r="B229" s="27"/>
      <c r="C229" s="27"/>
      <c r="D229" s="27"/>
      <c r="E229" s="27"/>
      <c r="F229" s="27"/>
      <c r="G229" s="27"/>
      <c r="H229" s="27"/>
    </row>
    <row r="230" spans="1:8">
      <c r="A230" s="27"/>
      <c r="B230" s="27"/>
      <c r="C230" s="27"/>
      <c r="D230" s="27"/>
      <c r="E230" s="27"/>
      <c r="F230" s="27"/>
      <c r="G230" s="27"/>
      <c r="H230" s="27"/>
    </row>
    <row r="231" spans="1:8">
      <c r="A231" s="27"/>
      <c r="B231" s="27"/>
      <c r="C231" s="27"/>
      <c r="D231" s="27"/>
      <c r="E231" s="27"/>
      <c r="F231" s="27"/>
      <c r="G231" s="27"/>
      <c r="H231" s="27"/>
    </row>
    <row r="232" spans="1:8">
      <c r="A232" s="27"/>
      <c r="B232" s="27"/>
      <c r="C232" s="27"/>
      <c r="D232" s="27"/>
      <c r="E232" s="27"/>
      <c r="F232" s="27"/>
      <c r="G232" s="27"/>
      <c r="H232" s="27"/>
    </row>
    <row r="233" spans="1:8">
      <c r="A233" s="27"/>
      <c r="B233" s="27"/>
      <c r="C233" s="27"/>
      <c r="D233" s="27"/>
      <c r="E233" s="27"/>
      <c r="F233" s="27"/>
      <c r="G233" s="27"/>
      <c r="H233" s="27"/>
    </row>
    <row r="234" spans="1:8">
      <c r="A234" s="27"/>
      <c r="B234" s="27"/>
      <c r="C234" s="27"/>
      <c r="D234" s="27"/>
      <c r="E234" s="27"/>
      <c r="F234" s="27"/>
      <c r="G234" s="27"/>
      <c r="H234" s="27"/>
    </row>
    <row r="235" spans="1:8">
      <c r="A235" s="27"/>
      <c r="B235" s="27"/>
      <c r="C235" s="27"/>
      <c r="D235" s="27"/>
      <c r="E235" s="27"/>
      <c r="F235" s="27"/>
      <c r="G235" s="27"/>
      <c r="H235" s="27"/>
    </row>
    <row r="236" spans="1:8">
      <c r="A236" s="27"/>
      <c r="B236" s="27"/>
      <c r="C236" s="27"/>
      <c r="D236" s="27"/>
      <c r="E236" s="27"/>
      <c r="F236" s="27"/>
      <c r="G236" s="27"/>
      <c r="H236" s="27"/>
    </row>
    <row r="237" spans="1:8">
      <c r="A237" s="27"/>
      <c r="B237" s="27"/>
      <c r="C237" s="27"/>
      <c r="D237" s="27"/>
      <c r="E237" s="27"/>
      <c r="F237" s="27"/>
      <c r="G237" s="27"/>
      <c r="H237" s="27"/>
    </row>
    <row r="238" spans="1:8">
      <c r="A238" s="27"/>
      <c r="B238" s="27"/>
      <c r="C238" s="27"/>
      <c r="D238" s="27"/>
      <c r="E238" s="27"/>
      <c r="F238" s="27"/>
      <c r="G238" s="27"/>
      <c r="H238" s="27"/>
    </row>
    <row r="239" spans="1:8">
      <c r="A239" s="27"/>
      <c r="B239" s="27"/>
      <c r="C239" s="27"/>
      <c r="D239" s="27"/>
      <c r="E239" s="27"/>
      <c r="F239" s="27"/>
      <c r="G239" s="27"/>
      <c r="H239" s="27"/>
    </row>
    <row r="240" spans="1:8">
      <c r="A240" s="27"/>
      <c r="B240" s="27"/>
      <c r="C240" s="27"/>
      <c r="D240" s="27"/>
      <c r="E240" s="27"/>
      <c r="F240" s="27"/>
      <c r="G240" s="27"/>
      <c r="H240" s="27"/>
    </row>
    <row r="241" spans="1:8">
      <c r="A241" s="27"/>
      <c r="B241" s="27"/>
      <c r="C241" s="27"/>
      <c r="D241" s="27"/>
      <c r="E241" s="27"/>
      <c r="F241" s="27"/>
      <c r="G241" s="27"/>
      <c r="H241" s="27"/>
    </row>
    <row r="242" spans="1:8">
      <c r="A242" s="27"/>
      <c r="B242" s="27"/>
      <c r="C242" s="27"/>
      <c r="D242" s="27"/>
      <c r="E242" s="27"/>
      <c r="F242" s="27"/>
      <c r="G242" s="27"/>
      <c r="H242" s="27"/>
    </row>
    <row r="243" spans="1:8">
      <c r="A243" s="27"/>
      <c r="B243" s="27"/>
      <c r="C243" s="27"/>
      <c r="D243" s="27"/>
      <c r="E243" s="27"/>
      <c r="F243" s="27"/>
      <c r="G243" s="27"/>
      <c r="H243" s="27"/>
    </row>
    <row r="244" spans="1:8">
      <c r="A244" s="27"/>
      <c r="B244" s="27"/>
      <c r="C244" s="27"/>
      <c r="D244" s="27"/>
      <c r="E244" s="27"/>
      <c r="F244" s="27"/>
      <c r="G244" s="27"/>
      <c r="H244" s="27"/>
    </row>
    <row r="245" spans="1:8">
      <c r="A245" s="27"/>
      <c r="B245" s="27"/>
      <c r="C245" s="27"/>
      <c r="D245" s="27"/>
      <c r="E245" s="27"/>
      <c r="F245" s="27"/>
      <c r="G245" s="27"/>
      <c r="H245" s="27"/>
    </row>
    <row r="246" spans="1:8">
      <c r="A246" s="27"/>
      <c r="B246" s="27"/>
      <c r="C246" s="27"/>
      <c r="D246" s="27"/>
      <c r="E246" s="27"/>
      <c r="F246" s="27"/>
      <c r="G246" s="27"/>
      <c r="H246" s="27"/>
    </row>
    <row r="247" spans="1:8">
      <c r="A247" s="27"/>
      <c r="B247" s="27"/>
      <c r="C247" s="27"/>
      <c r="D247" s="27"/>
      <c r="E247" s="27"/>
      <c r="F247" s="27"/>
      <c r="G247" s="27"/>
      <c r="H247" s="27"/>
    </row>
    <row r="248" spans="1:8">
      <c r="A248" s="27"/>
      <c r="B248" s="27"/>
      <c r="C248" s="27"/>
      <c r="D248" s="27"/>
      <c r="E248" s="27"/>
      <c r="F248" s="27"/>
      <c r="G248" s="27"/>
      <c r="H248" s="27"/>
    </row>
    <row r="249" spans="1:8">
      <c r="A249" s="27"/>
      <c r="B249" s="27"/>
      <c r="C249" s="27"/>
      <c r="D249" s="27"/>
      <c r="E249" s="27"/>
      <c r="F249" s="27"/>
      <c r="G249" s="27"/>
      <c r="H249" s="27"/>
    </row>
    <row r="250" spans="1:8">
      <c r="A250" s="27"/>
      <c r="B250" s="27"/>
      <c r="C250" s="27"/>
      <c r="D250" s="27"/>
      <c r="E250" s="27"/>
      <c r="F250" s="27"/>
      <c r="G250" s="27"/>
      <c r="H250" s="27"/>
    </row>
    <row r="251" spans="1:8">
      <c r="A251" s="27"/>
      <c r="B251" s="27"/>
      <c r="C251" s="27"/>
      <c r="D251" s="27"/>
      <c r="E251" s="27"/>
      <c r="F251" s="27"/>
      <c r="G251" s="27"/>
      <c r="H251" s="27"/>
    </row>
    <row r="252" spans="1:8">
      <c r="A252" s="27"/>
      <c r="B252" s="27"/>
      <c r="C252" s="27"/>
      <c r="D252" s="27"/>
      <c r="E252" s="27"/>
      <c r="F252" s="27"/>
      <c r="G252" s="27"/>
      <c r="H252" s="27"/>
    </row>
    <row r="253" spans="1:8">
      <c r="A253" s="27"/>
      <c r="B253" s="27"/>
      <c r="C253" s="27"/>
      <c r="D253" s="27"/>
      <c r="E253" s="27"/>
      <c r="F253" s="27"/>
      <c r="G253" s="27"/>
      <c r="H253" s="27"/>
    </row>
    <row r="254" spans="1:8">
      <c r="A254" s="27"/>
      <c r="B254" s="27"/>
      <c r="C254" s="27"/>
      <c r="D254" s="27"/>
      <c r="E254" s="27"/>
      <c r="F254" s="27"/>
      <c r="G254" s="27"/>
      <c r="H254" s="27"/>
    </row>
    <row r="255" spans="1:8">
      <c r="A255" s="27"/>
      <c r="B255" s="27"/>
      <c r="C255" s="27"/>
      <c r="D255" s="27"/>
      <c r="E255" s="27"/>
      <c r="F255" s="27"/>
      <c r="G255" s="27"/>
      <c r="H255" s="27"/>
    </row>
    <row r="256" spans="1:8">
      <c r="A256" s="27"/>
      <c r="B256" s="27"/>
      <c r="C256" s="27"/>
      <c r="D256" s="27"/>
      <c r="E256" s="27"/>
      <c r="F256" s="27"/>
      <c r="G256" s="27"/>
      <c r="H256" s="27"/>
    </row>
    <row r="257" spans="1:8">
      <c r="A257" s="27"/>
      <c r="B257" s="27"/>
      <c r="C257" s="27"/>
      <c r="D257" s="27"/>
      <c r="E257" s="27"/>
      <c r="F257" s="27"/>
      <c r="G257" s="27"/>
      <c r="H257" s="27"/>
    </row>
    <row r="258" spans="1:8">
      <c r="A258" s="27"/>
      <c r="B258" s="27"/>
      <c r="C258" s="27"/>
      <c r="D258" s="27"/>
      <c r="E258" s="27"/>
      <c r="F258" s="27"/>
      <c r="G258" s="27"/>
      <c r="H258" s="27"/>
    </row>
    <row r="259" spans="1:8">
      <c r="A259" s="27"/>
      <c r="B259" s="27"/>
      <c r="C259" s="27"/>
      <c r="D259" s="27"/>
      <c r="E259" s="27"/>
      <c r="F259" s="27"/>
      <c r="G259" s="27"/>
      <c r="H259" s="27"/>
    </row>
    <row r="260" spans="1:8">
      <c r="A260" s="27"/>
      <c r="B260" s="27"/>
      <c r="C260" s="27"/>
      <c r="D260" s="27"/>
      <c r="E260" s="27"/>
      <c r="F260" s="27"/>
      <c r="G260" s="27"/>
      <c r="H260" s="27"/>
    </row>
    <row r="261" spans="1:8">
      <c r="A261" s="27"/>
      <c r="B261" s="27"/>
      <c r="C261" s="27"/>
      <c r="D261" s="27"/>
      <c r="E261" s="27"/>
      <c r="F261" s="27"/>
      <c r="G261" s="27"/>
      <c r="H261" s="27"/>
    </row>
    <row r="262" spans="1:8">
      <c r="A262" s="27"/>
      <c r="B262" s="27"/>
      <c r="C262" s="27"/>
      <c r="D262" s="27"/>
      <c r="E262" s="27"/>
      <c r="F262" s="27"/>
      <c r="G262" s="27"/>
      <c r="H262" s="27"/>
    </row>
    <row r="263" spans="1:8">
      <c r="A263" s="27"/>
      <c r="B263" s="27"/>
      <c r="C263" s="27"/>
      <c r="D263" s="27"/>
      <c r="E263" s="27"/>
      <c r="F263" s="27"/>
      <c r="G263" s="27"/>
      <c r="H263" s="27"/>
    </row>
    <row r="264" spans="1:8">
      <c r="A264" s="27"/>
      <c r="B264" s="27"/>
      <c r="C264" s="27"/>
      <c r="D264" s="27"/>
      <c r="E264" s="27"/>
      <c r="F264" s="27"/>
      <c r="G264" s="27"/>
      <c r="H264" s="27"/>
    </row>
    <row r="265" spans="1:8">
      <c r="A265" s="27"/>
      <c r="B265" s="27"/>
      <c r="C265" s="27"/>
      <c r="D265" s="27"/>
      <c r="E265" s="27"/>
      <c r="F265" s="27"/>
      <c r="G265" s="27"/>
      <c r="H265" s="27"/>
    </row>
    <row r="266" spans="1:8">
      <c r="A266" s="27"/>
      <c r="B266" s="27"/>
      <c r="C266" s="27"/>
      <c r="D266" s="27"/>
      <c r="E266" s="27"/>
      <c r="F266" s="27"/>
      <c r="G266" s="27"/>
      <c r="H266" s="27"/>
    </row>
    <row r="267" spans="1:8">
      <c r="A267" s="27"/>
      <c r="B267" s="27"/>
      <c r="C267" s="27"/>
      <c r="D267" s="27"/>
      <c r="E267" s="27"/>
      <c r="F267" s="27"/>
      <c r="G267" s="27"/>
      <c r="H267" s="27"/>
    </row>
    <row r="268" spans="1:8">
      <c r="A268" s="27"/>
      <c r="B268" s="27"/>
      <c r="C268" s="27"/>
      <c r="D268" s="27"/>
      <c r="E268" s="27"/>
      <c r="F268" s="27"/>
      <c r="G268" s="27"/>
      <c r="H268" s="27"/>
    </row>
    <row r="269" spans="1:8">
      <c r="A269" s="27"/>
      <c r="B269" s="27"/>
      <c r="C269" s="27"/>
      <c r="D269" s="27"/>
      <c r="E269" s="27"/>
      <c r="F269" s="27"/>
      <c r="G269" s="27"/>
      <c r="H269" s="27"/>
    </row>
    <row r="270" spans="1:8">
      <c r="A270" s="27"/>
      <c r="B270" s="27"/>
      <c r="C270" s="27"/>
      <c r="D270" s="27"/>
      <c r="E270" s="27"/>
      <c r="F270" s="27"/>
      <c r="G270" s="27"/>
      <c r="H270" s="27"/>
    </row>
    <row r="271" spans="1:8">
      <c r="A271" s="27"/>
      <c r="B271" s="27"/>
      <c r="C271" s="27"/>
      <c r="D271" s="27"/>
      <c r="E271" s="27"/>
      <c r="F271" s="27"/>
      <c r="G271" s="27"/>
      <c r="H271" s="27"/>
    </row>
    <row r="272" spans="1:8">
      <c r="A272" s="27"/>
      <c r="B272" s="27"/>
      <c r="C272" s="27"/>
      <c r="D272" s="27"/>
      <c r="E272" s="27"/>
      <c r="F272" s="27"/>
      <c r="G272" s="27"/>
      <c r="H272" s="27"/>
    </row>
    <row r="273" spans="1:8">
      <c r="A273" s="27"/>
      <c r="B273" s="27"/>
      <c r="C273" s="27"/>
      <c r="D273" s="27"/>
      <c r="E273" s="27"/>
      <c r="F273" s="27"/>
      <c r="G273" s="27"/>
      <c r="H273" s="27"/>
    </row>
    <row r="274" spans="1:8">
      <c r="A274" s="27"/>
      <c r="B274" s="27"/>
      <c r="C274" s="27"/>
      <c r="D274" s="27"/>
      <c r="E274" s="27"/>
      <c r="F274" s="27"/>
      <c r="G274" s="27"/>
      <c r="H274" s="27"/>
    </row>
    <row r="275" spans="1:8">
      <c r="A275" s="27"/>
      <c r="B275" s="27"/>
      <c r="C275" s="27"/>
      <c r="D275" s="27"/>
      <c r="E275" s="27"/>
      <c r="F275" s="27"/>
      <c r="G275" s="27"/>
      <c r="H275" s="27"/>
    </row>
    <row r="276" spans="1:8">
      <c r="A276" s="27"/>
      <c r="B276" s="27"/>
      <c r="C276" s="27"/>
      <c r="D276" s="27"/>
      <c r="E276" s="27"/>
      <c r="F276" s="27"/>
      <c r="G276" s="27"/>
      <c r="H276" s="27"/>
    </row>
    <row r="277" spans="1:8">
      <c r="A277" s="27"/>
      <c r="B277" s="27"/>
      <c r="C277" s="27"/>
      <c r="D277" s="27"/>
      <c r="E277" s="27"/>
      <c r="F277" s="27"/>
      <c r="G277" s="27"/>
      <c r="H277" s="27"/>
    </row>
    <row r="278" spans="1:8">
      <c r="A278" s="27"/>
      <c r="B278" s="27"/>
      <c r="C278" s="27"/>
      <c r="D278" s="27"/>
      <c r="E278" s="27"/>
      <c r="F278" s="27"/>
      <c r="G278" s="27"/>
      <c r="H278" s="27"/>
    </row>
    <row r="279" spans="1:8">
      <c r="A279" s="27"/>
      <c r="B279" s="27"/>
      <c r="C279" s="27"/>
      <c r="D279" s="27"/>
      <c r="E279" s="27"/>
      <c r="F279" s="27"/>
      <c r="G279" s="27"/>
      <c r="H279" s="27"/>
    </row>
    <row r="280" spans="1:8">
      <c r="A280" s="27"/>
      <c r="B280" s="27"/>
      <c r="C280" s="27"/>
      <c r="D280" s="27"/>
      <c r="E280" s="27"/>
      <c r="F280" s="27"/>
      <c r="G280" s="27"/>
      <c r="H280" s="27"/>
    </row>
    <row r="281" spans="1:8">
      <c r="A281" s="27"/>
      <c r="B281" s="27"/>
      <c r="C281" s="27"/>
      <c r="D281" s="27"/>
      <c r="E281" s="27"/>
      <c r="F281" s="27"/>
      <c r="G281" s="27"/>
      <c r="H281" s="27"/>
    </row>
    <row r="282" spans="1:8">
      <c r="A282" s="27"/>
      <c r="B282" s="27"/>
      <c r="C282" s="27"/>
      <c r="D282" s="27"/>
      <c r="E282" s="27"/>
      <c r="F282" s="27"/>
      <c r="G282" s="27"/>
      <c r="H282" s="27"/>
    </row>
    <row r="283" spans="1:8">
      <c r="A283" s="27"/>
      <c r="B283" s="27"/>
      <c r="C283" s="27"/>
      <c r="D283" s="27"/>
      <c r="E283" s="27"/>
      <c r="F283" s="27"/>
      <c r="G283" s="27"/>
      <c r="H283" s="27"/>
    </row>
    <row r="284" spans="1:8">
      <c r="A284" s="27"/>
      <c r="B284" s="27"/>
      <c r="C284" s="27"/>
      <c r="D284" s="27"/>
      <c r="E284" s="27"/>
      <c r="F284" s="27"/>
      <c r="G284" s="27"/>
      <c r="H284" s="27"/>
    </row>
    <row r="285" spans="1:8">
      <c r="A285" s="27"/>
      <c r="B285" s="27"/>
      <c r="C285" s="27"/>
      <c r="D285" s="27"/>
      <c r="E285" s="27"/>
      <c r="F285" s="27"/>
      <c r="G285" s="27"/>
      <c r="H285" s="27"/>
    </row>
    <row r="286" spans="1:8">
      <c r="A286" s="27"/>
      <c r="B286" s="27"/>
      <c r="C286" s="27"/>
      <c r="D286" s="27"/>
      <c r="E286" s="27"/>
      <c r="F286" s="27"/>
      <c r="G286" s="27"/>
      <c r="H286" s="27"/>
    </row>
    <row r="287" spans="1:8">
      <c r="A287" s="27"/>
      <c r="B287" s="27"/>
      <c r="C287" s="27"/>
      <c r="D287" s="27"/>
      <c r="E287" s="27"/>
      <c r="F287" s="27"/>
      <c r="G287" s="27"/>
      <c r="H287" s="27"/>
    </row>
    <row r="288" spans="1:8">
      <c r="A288" s="27"/>
      <c r="B288" s="27"/>
      <c r="C288" s="27"/>
      <c r="D288" s="27"/>
      <c r="E288" s="27"/>
      <c r="F288" s="27"/>
      <c r="G288" s="27"/>
      <c r="H288" s="27"/>
    </row>
    <row r="289" spans="1:8">
      <c r="A289" s="27"/>
      <c r="B289" s="27"/>
      <c r="C289" s="27"/>
      <c r="D289" s="27"/>
      <c r="E289" s="27"/>
      <c r="F289" s="27"/>
      <c r="G289" s="27"/>
      <c r="H289" s="27"/>
    </row>
    <row r="290" spans="1:8">
      <c r="A290" s="27"/>
      <c r="B290" s="27"/>
      <c r="C290" s="27"/>
      <c r="D290" s="27"/>
      <c r="E290" s="27"/>
      <c r="F290" s="27"/>
      <c r="G290" s="27"/>
      <c r="H290" s="27"/>
    </row>
    <row r="291" spans="1:8">
      <c r="A291" s="27"/>
      <c r="B291" s="27"/>
      <c r="C291" s="27"/>
      <c r="D291" s="27"/>
      <c r="E291" s="27"/>
      <c r="F291" s="27"/>
      <c r="G291" s="27"/>
      <c r="H291" s="27"/>
    </row>
    <row r="292" spans="1:8">
      <c r="A292" s="27"/>
      <c r="B292" s="27"/>
      <c r="C292" s="27"/>
      <c r="D292" s="27"/>
      <c r="E292" s="27"/>
      <c r="F292" s="27"/>
      <c r="G292" s="27"/>
      <c r="H292" s="27"/>
    </row>
    <row r="293" spans="1:8">
      <c r="A293" s="27"/>
      <c r="B293" s="27"/>
      <c r="C293" s="27"/>
      <c r="D293" s="27"/>
      <c r="E293" s="27"/>
      <c r="F293" s="27"/>
      <c r="G293" s="27"/>
      <c r="H293" s="27"/>
    </row>
    <row r="294" spans="1:8">
      <c r="A294" s="27"/>
      <c r="B294" s="27"/>
      <c r="C294" s="27"/>
      <c r="D294" s="27"/>
      <c r="E294" s="27"/>
      <c r="F294" s="27"/>
      <c r="G294" s="27"/>
      <c r="H294" s="27"/>
    </row>
    <row r="295" spans="1:8">
      <c r="A295" s="27"/>
      <c r="B295" s="27"/>
      <c r="C295" s="27"/>
      <c r="D295" s="27"/>
      <c r="E295" s="27"/>
      <c r="F295" s="27"/>
      <c r="G295" s="27"/>
      <c r="H295" s="27"/>
    </row>
    <row r="296" spans="1:8">
      <c r="A296" s="27"/>
      <c r="B296" s="27"/>
      <c r="C296" s="27"/>
      <c r="D296" s="27"/>
      <c r="E296" s="27"/>
      <c r="F296" s="27"/>
      <c r="G296" s="27"/>
      <c r="H296" s="27"/>
    </row>
    <row r="297" spans="1:8">
      <c r="A297" s="27"/>
      <c r="B297" s="27"/>
      <c r="C297" s="27"/>
      <c r="D297" s="27"/>
      <c r="E297" s="27"/>
      <c r="F297" s="27"/>
      <c r="G297" s="27"/>
      <c r="H297" s="27"/>
    </row>
    <row r="298" spans="1:8">
      <c r="A298" s="27"/>
      <c r="B298" s="27"/>
      <c r="C298" s="27"/>
      <c r="D298" s="27"/>
      <c r="E298" s="27"/>
      <c r="F298" s="27"/>
      <c r="G298" s="27"/>
      <c r="H298" s="27"/>
    </row>
    <row r="299" spans="1:8">
      <c r="A299" s="27"/>
      <c r="B299" s="27"/>
      <c r="C299" s="27"/>
      <c r="D299" s="27"/>
      <c r="E299" s="27"/>
      <c r="F299" s="27"/>
      <c r="G299" s="27"/>
      <c r="H299" s="27"/>
    </row>
    <row r="300" spans="1:8">
      <c r="A300" s="27"/>
      <c r="B300" s="27"/>
      <c r="C300" s="27"/>
      <c r="D300" s="27"/>
      <c r="E300" s="27"/>
      <c r="F300" s="27"/>
      <c r="G300" s="27"/>
      <c r="H300" s="27"/>
    </row>
    <row r="301" spans="1:8">
      <c r="A301" s="27"/>
      <c r="B301" s="27"/>
      <c r="C301" s="27"/>
      <c r="D301" s="27"/>
      <c r="E301" s="27"/>
      <c r="F301" s="27"/>
      <c r="G301" s="27"/>
      <c r="H301" s="27"/>
    </row>
    <row r="302" spans="1:8">
      <c r="A302" s="27"/>
      <c r="B302" s="27"/>
      <c r="C302" s="27"/>
      <c r="D302" s="27"/>
      <c r="E302" s="27"/>
      <c r="F302" s="27"/>
      <c r="G302" s="27"/>
      <c r="H302" s="27"/>
    </row>
    <row r="303" spans="1:8">
      <c r="A303" s="27"/>
      <c r="B303" s="27"/>
      <c r="C303" s="27"/>
      <c r="D303" s="27"/>
      <c r="E303" s="27"/>
      <c r="F303" s="27"/>
      <c r="G303" s="27"/>
      <c r="H303" s="27"/>
    </row>
    <row r="304" spans="1:8">
      <c r="A304" s="27"/>
      <c r="B304" s="27"/>
      <c r="C304" s="27"/>
      <c r="D304" s="27"/>
      <c r="E304" s="27"/>
      <c r="F304" s="27"/>
      <c r="G304" s="27"/>
      <c r="H304" s="27"/>
    </row>
    <row r="305" spans="1:8">
      <c r="A305" s="27"/>
      <c r="B305" s="27"/>
      <c r="C305" s="27"/>
      <c r="D305" s="27"/>
      <c r="E305" s="27"/>
      <c r="F305" s="27"/>
      <c r="G305" s="27"/>
      <c r="H305" s="27"/>
    </row>
    <row r="306" spans="1:8">
      <c r="A306" s="27"/>
      <c r="B306" s="27"/>
      <c r="C306" s="27"/>
      <c r="D306" s="27"/>
      <c r="E306" s="27"/>
      <c r="F306" s="27"/>
      <c r="G306" s="27"/>
      <c r="H306" s="27"/>
    </row>
    <row r="307" spans="1:8">
      <c r="A307" s="27"/>
      <c r="B307" s="27"/>
      <c r="C307" s="27"/>
      <c r="D307" s="27"/>
      <c r="E307" s="27"/>
      <c r="F307" s="27"/>
      <c r="G307" s="27"/>
      <c r="H307" s="27"/>
    </row>
    <row r="308" spans="1:8">
      <c r="A308" s="27"/>
      <c r="B308" s="27"/>
      <c r="C308" s="27"/>
      <c r="D308" s="27"/>
      <c r="E308" s="27"/>
      <c r="F308" s="27"/>
      <c r="G308" s="27"/>
      <c r="H308" s="27"/>
    </row>
    <row r="309" spans="1:8">
      <c r="A309" s="27"/>
      <c r="B309" s="27"/>
      <c r="C309" s="27"/>
      <c r="D309" s="27"/>
      <c r="E309" s="27"/>
      <c r="F309" s="27"/>
      <c r="G309" s="27"/>
      <c r="H309" s="27"/>
    </row>
    <row r="310" spans="1:8">
      <c r="A310" s="27"/>
      <c r="B310" s="27"/>
      <c r="C310" s="27"/>
      <c r="D310" s="27"/>
      <c r="E310" s="27"/>
      <c r="F310" s="27"/>
      <c r="G310" s="27"/>
      <c r="H310" s="27"/>
    </row>
    <row r="311" spans="1:8">
      <c r="A311" s="27"/>
      <c r="B311" s="27"/>
      <c r="C311" s="27"/>
      <c r="D311" s="27"/>
      <c r="E311" s="27"/>
      <c r="F311" s="27"/>
      <c r="G311" s="27"/>
      <c r="H311" s="27"/>
    </row>
    <row r="312" spans="1:8">
      <c r="A312" s="27"/>
      <c r="B312" s="27"/>
      <c r="C312" s="27"/>
      <c r="D312" s="27"/>
      <c r="E312" s="27"/>
      <c r="F312" s="27"/>
      <c r="G312" s="27"/>
      <c r="H312" s="27"/>
    </row>
    <row r="313" spans="1:8">
      <c r="A313" s="27"/>
      <c r="B313" s="27"/>
      <c r="C313" s="27"/>
      <c r="D313" s="27"/>
      <c r="E313" s="27"/>
      <c r="F313" s="27"/>
      <c r="G313" s="27"/>
      <c r="H313" s="27"/>
    </row>
    <row r="314" spans="1:8">
      <c r="A314" s="27"/>
      <c r="B314" s="27"/>
      <c r="C314" s="27"/>
      <c r="D314" s="27"/>
      <c r="E314" s="27"/>
      <c r="F314" s="27"/>
      <c r="G314" s="27"/>
      <c r="H314" s="27"/>
    </row>
    <row r="315" spans="1:8">
      <c r="A315" s="27"/>
      <c r="B315" s="27"/>
      <c r="C315" s="27"/>
      <c r="D315" s="27"/>
      <c r="E315" s="27"/>
      <c r="F315" s="27"/>
      <c r="G315" s="27"/>
      <c r="H315" s="27"/>
    </row>
    <row r="316" spans="1:8">
      <c r="A316" s="27"/>
      <c r="B316" s="27"/>
      <c r="C316" s="27"/>
      <c r="D316" s="27"/>
      <c r="E316" s="27"/>
      <c r="F316" s="27"/>
      <c r="G316" s="27"/>
      <c r="H316" s="27"/>
    </row>
    <row r="317" spans="1:8">
      <c r="A317" s="27"/>
      <c r="B317" s="27"/>
      <c r="C317" s="27"/>
      <c r="D317" s="27"/>
      <c r="E317" s="27"/>
      <c r="F317" s="27"/>
      <c r="G317" s="27"/>
      <c r="H317" s="27"/>
    </row>
    <row r="318" spans="1:8">
      <c r="A318" s="27"/>
      <c r="B318" s="27"/>
      <c r="C318" s="27"/>
      <c r="D318" s="27"/>
      <c r="E318" s="27"/>
      <c r="F318" s="27"/>
      <c r="G318" s="27"/>
      <c r="H318" s="27"/>
    </row>
    <row r="319" spans="1:8">
      <c r="A319" s="27"/>
      <c r="B319" s="27"/>
      <c r="C319" s="27"/>
      <c r="D319" s="27"/>
      <c r="E319" s="27"/>
      <c r="F319" s="27"/>
      <c r="G319" s="27"/>
      <c r="H319" s="27"/>
    </row>
    <row r="320" spans="1:8">
      <c r="A320" s="27"/>
      <c r="B320" s="27"/>
      <c r="C320" s="27"/>
      <c r="D320" s="27"/>
      <c r="E320" s="27"/>
      <c r="F320" s="27"/>
      <c r="G320" s="27"/>
      <c r="H320" s="27"/>
    </row>
    <row r="321" spans="1:8">
      <c r="A321" s="27"/>
      <c r="B321" s="27"/>
      <c r="C321" s="27"/>
      <c r="D321" s="27"/>
      <c r="E321" s="27"/>
      <c r="F321" s="27"/>
      <c r="G321" s="27"/>
      <c r="H321" s="27"/>
    </row>
    <row r="322" spans="1:8">
      <c r="A322" s="27"/>
      <c r="B322" s="27"/>
      <c r="C322" s="27"/>
      <c r="D322" s="27"/>
      <c r="E322" s="27"/>
      <c r="F322" s="27"/>
      <c r="G322" s="27"/>
      <c r="H322" s="27"/>
    </row>
    <row r="323" spans="1:8">
      <c r="A323" s="27"/>
      <c r="B323" s="27"/>
      <c r="C323" s="27"/>
      <c r="D323" s="27"/>
      <c r="E323" s="27"/>
      <c r="F323" s="27"/>
      <c r="G323" s="27"/>
      <c r="H323" s="27"/>
    </row>
    <row r="324" spans="1:8">
      <c r="A324" s="27"/>
      <c r="B324" s="27"/>
      <c r="C324" s="27"/>
      <c r="D324" s="27"/>
      <c r="E324" s="27"/>
      <c r="F324" s="27"/>
      <c r="G324" s="27"/>
      <c r="H324" s="27"/>
    </row>
    <row r="325" spans="1:8">
      <c r="A325" s="27"/>
      <c r="B325" s="27"/>
      <c r="C325" s="27"/>
      <c r="D325" s="27"/>
      <c r="E325" s="27"/>
      <c r="F325" s="27"/>
      <c r="G325" s="27"/>
      <c r="H325" s="27"/>
    </row>
    <row r="326" spans="1:8">
      <c r="A326" s="27"/>
      <c r="B326" s="27"/>
      <c r="C326" s="27"/>
      <c r="D326" s="27"/>
      <c r="E326" s="27"/>
      <c r="F326" s="27"/>
      <c r="G326" s="27"/>
      <c r="H326" s="27"/>
    </row>
    <row r="327" spans="1:8">
      <c r="A327" s="27"/>
      <c r="B327" s="27"/>
      <c r="C327" s="27"/>
      <c r="D327" s="27"/>
      <c r="E327" s="27"/>
      <c r="F327" s="27"/>
      <c r="G327" s="27"/>
      <c r="H327" s="27"/>
    </row>
    <row r="328" spans="1:8">
      <c r="A328" s="27"/>
      <c r="B328" s="27"/>
      <c r="C328" s="27"/>
      <c r="D328" s="27"/>
      <c r="E328" s="27"/>
      <c r="F328" s="27"/>
      <c r="G328" s="27"/>
      <c r="H328" s="27"/>
    </row>
    <row r="329" spans="1:8">
      <c r="A329" s="27"/>
      <c r="B329" s="27"/>
      <c r="C329" s="27"/>
      <c r="D329" s="27"/>
      <c r="E329" s="27"/>
      <c r="F329" s="27"/>
      <c r="G329" s="27"/>
      <c r="H329" s="27"/>
    </row>
    <row r="330" spans="1:8">
      <c r="A330" s="27"/>
      <c r="B330" s="27"/>
      <c r="C330" s="27"/>
      <c r="D330" s="27"/>
      <c r="E330" s="27"/>
      <c r="F330" s="27"/>
      <c r="G330" s="27"/>
      <c r="H330" s="27"/>
    </row>
    <row r="331" spans="1:8">
      <c r="A331" s="27"/>
      <c r="B331" s="27"/>
      <c r="C331" s="27"/>
      <c r="D331" s="27"/>
      <c r="E331" s="27"/>
      <c r="F331" s="27"/>
      <c r="G331" s="27"/>
      <c r="H331" s="27"/>
    </row>
    <row r="332" spans="1:8">
      <c r="A332" s="27"/>
      <c r="B332" s="27"/>
      <c r="C332" s="27"/>
      <c r="D332" s="27"/>
      <c r="E332" s="27"/>
      <c r="F332" s="27"/>
      <c r="G332" s="27"/>
      <c r="H332" s="27"/>
    </row>
    <row r="333" spans="1:8">
      <c r="A333" s="27"/>
      <c r="B333" s="27"/>
      <c r="C333" s="27"/>
      <c r="D333" s="27"/>
      <c r="E333" s="27"/>
      <c r="F333" s="27"/>
      <c r="G333" s="27"/>
      <c r="H333" s="27"/>
    </row>
    <row r="334" spans="1:8">
      <c r="A334" s="27"/>
      <c r="B334" s="27"/>
      <c r="C334" s="27"/>
      <c r="D334" s="27"/>
      <c r="E334" s="27"/>
      <c r="F334" s="27"/>
      <c r="G334" s="27"/>
      <c r="H334" s="27"/>
    </row>
    <row r="335" spans="1:8">
      <c r="A335" s="27"/>
      <c r="B335" s="27"/>
      <c r="C335" s="27"/>
      <c r="D335" s="27"/>
      <c r="E335" s="27"/>
      <c r="F335" s="27"/>
      <c r="G335" s="27"/>
      <c r="H335" s="27"/>
    </row>
    <row r="336" spans="1:8">
      <c r="A336" s="27"/>
      <c r="B336" s="27"/>
      <c r="C336" s="27"/>
      <c r="D336" s="27"/>
      <c r="E336" s="27"/>
      <c r="F336" s="27"/>
      <c r="G336" s="27"/>
      <c r="H336" s="27"/>
    </row>
    <row r="337" spans="1:8">
      <c r="A337" s="27"/>
      <c r="B337" s="27"/>
      <c r="C337" s="27"/>
      <c r="D337" s="27"/>
      <c r="E337" s="27"/>
      <c r="F337" s="27"/>
      <c r="G337" s="27"/>
      <c r="H337" s="27"/>
    </row>
    <row r="338" spans="1:8">
      <c r="A338" s="27"/>
      <c r="B338" s="27"/>
      <c r="C338" s="27"/>
      <c r="D338" s="27"/>
      <c r="E338" s="27"/>
      <c r="F338" s="27"/>
      <c r="G338" s="27"/>
      <c r="H338" s="27"/>
    </row>
    <row r="339" spans="1:8">
      <c r="A339" s="27"/>
      <c r="B339" s="27"/>
      <c r="C339" s="27"/>
      <c r="D339" s="27"/>
      <c r="E339" s="27"/>
      <c r="F339" s="27"/>
      <c r="G339" s="27"/>
      <c r="H339" s="27"/>
    </row>
    <row r="340" spans="1:8">
      <c r="A340" s="27"/>
      <c r="B340" s="27"/>
      <c r="C340" s="27"/>
      <c r="D340" s="27"/>
      <c r="E340" s="27"/>
      <c r="F340" s="27"/>
      <c r="G340" s="27"/>
      <c r="H340" s="27"/>
    </row>
    <row r="341" spans="1:8">
      <c r="A341" s="27"/>
      <c r="B341" s="27"/>
      <c r="C341" s="27"/>
      <c r="D341" s="27"/>
      <c r="E341" s="27"/>
      <c r="F341" s="27"/>
      <c r="G341" s="27"/>
      <c r="H341" s="27"/>
    </row>
    <row r="342" spans="1:8">
      <c r="A342" s="27"/>
      <c r="B342" s="27"/>
      <c r="C342" s="27"/>
      <c r="D342" s="27"/>
      <c r="E342" s="27"/>
      <c r="F342" s="27"/>
      <c r="G342" s="27"/>
      <c r="H342" s="27"/>
    </row>
    <row r="343" spans="1:8">
      <c r="A343" s="27"/>
      <c r="B343" s="27"/>
      <c r="C343" s="27"/>
      <c r="D343" s="27"/>
      <c r="E343" s="27"/>
      <c r="F343" s="27"/>
      <c r="G343" s="27"/>
      <c r="H343" s="27"/>
    </row>
    <row r="344" spans="1:8">
      <c r="A344" s="27"/>
      <c r="B344" s="27"/>
      <c r="C344" s="27"/>
      <c r="D344" s="27"/>
      <c r="E344" s="27"/>
      <c r="F344" s="27"/>
      <c r="G344" s="27"/>
      <c r="H344" s="27"/>
    </row>
    <row r="345" spans="1:8">
      <c r="A345" s="27"/>
      <c r="B345" s="27"/>
      <c r="C345" s="27"/>
      <c r="D345" s="27"/>
      <c r="E345" s="27"/>
      <c r="F345" s="27"/>
      <c r="G345" s="27"/>
      <c r="H345" s="27"/>
    </row>
    <row r="346" spans="1:8">
      <c r="A346" s="27"/>
      <c r="B346" s="27"/>
      <c r="C346" s="27"/>
      <c r="D346" s="27"/>
      <c r="E346" s="27"/>
      <c r="F346" s="27"/>
      <c r="G346" s="27"/>
      <c r="H346" s="27"/>
    </row>
    <row r="347" spans="1:8">
      <c r="A347" s="27"/>
      <c r="B347" s="27"/>
      <c r="C347" s="27"/>
      <c r="D347" s="27"/>
      <c r="E347" s="27"/>
      <c r="F347" s="27"/>
      <c r="G347" s="27"/>
      <c r="H347" s="27"/>
    </row>
    <row r="348" spans="1:8">
      <c r="A348" s="27"/>
      <c r="B348" s="27"/>
      <c r="C348" s="27"/>
      <c r="D348" s="27"/>
      <c r="E348" s="27"/>
      <c r="F348" s="27"/>
      <c r="G348" s="27"/>
      <c r="H348" s="27"/>
    </row>
    <row r="349" spans="1:8">
      <c r="A349" s="27"/>
      <c r="B349" s="27"/>
      <c r="C349" s="27"/>
      <c r="D349" s="27"/>
      <c r="E349" s="27"/>
      <c r="F349" s="27"/>
      <c r="G349" s="27"/>
      <c r="H349" s="27"/>
    </row>
    <row r="350" spans="1:8">
      <c r="A350" s="27"/>
      <c r="B350" s="27"/>
      <c r="C350" s="27"/>
      <c r="D350" s="27"/>
      <c r="E350" s="27"/>
      <c r="F350" s="27"/>
      <c r="G350" s="27"/>
      <c r="H350" s="27"/>
    </row>
    <row r="351" spans="1:8">
      <c r="A351" s="27"/>
      <c r="B351" s="27"/>
      <c r="C351" s="27"/>
      <c r="D351" s="27"/>
      <c r="E351" s="27"/>
      <c r="F351" s="27"/>
      <c r="G351" s="27"/>
      <c r="H351" s="27"/>
    </row>
    <row r="352" spans="1:8">
      <c r="A352" s="27"/>
      <c r="B352" s="27"/>
      <c r="C352" s="27"/>
      <c r="D352" s="27"/>
      <c r="E352" s="27"/>
      <c r="F352" s="27"/>
      <c r="G352" s="27"/>
      <c r="H352" s="27"/>
    </row>
    <row r="353" spans="1:8">
      <c r="A353" s="27"/>
      <c r="B353" s="27"/>
      <c r="C353" s="27"/>
      <c r="D353" s="27"/>
      <c r="E353" s="27"/>
      <c r="F353" s="27"/>
      <c r="G353" s="27"/>
      <c r="H353" s="27"/>
    </row>
    <row r="354" spans="1:8">
      <c r="A354" s="27"/>
      <c r="B354" s="27"/>
      <c r="C354" s="27"/>
      <c r="D354" s="27"/>
      <c r="E354" s="27"/>
      <c r="F354" s="27"/>
      <c r="G354" s="27"/>
      <c r="H354" s="27"/>
    </row>
    <row r="355" spans="1:8">
      <c r="A355" s="27"/>
      <c r="B355" s="27"/>
      <c r="C355" s="27"/>
      <c r="D355" s="27"/>
      <c r="E355" s="27"/>
      <c r="F355" s="27"/>
      <c r="G355" s="27"/>
      <c r="H355" s="27"/>
    </row>
    <row r="356" spans="1:8">
      <c r="A356" s="27"/>
      <c r="B356" s="27"/>
      <c r="C356" s="27"/>
      <c r="D356" s="27"/>
      <c r="E356" s="27"/>
      <c r="F356" s="27"/>
      <c r="G356" s="27"/>
      <c r="H356" s="27"/>
    </row>
    <row r="357" spans="1:8">
      <c r="A357" s="27"/>
      <c r="B357" s="27"/>
      <c r="C357" s="27"/>
      <c r="D357" s="27"/>
      <c r="E357" s="27"/>
      <c r="F357" s="27"/>
      <c r="G357" s="27"/>
      <c r="H357" s="27"/>
    </row>
    <row r="358" spans="1:8">
      <c r="A358" s="27"/>
      <c r="B358" s="27"/>
      <c r="C358" s="27"/>
      <c r="D358" s="27"/>
      <c r="E358" s="27"/>
      <c r="F358" s="27"/>
      <c r="G358" s="27"/>
      <c r="H358" s="27"/>
    </row>
    <row r="359" spans="1:8">
      <c r="A359" s="27"/>
      <c r="B359" s="27"/>
      <c r="C359" s="27"/>
      <c r="D359" s="27"/>
      <c r="E359" s="27"/>
      <c r="F359" s="27"/>
      <c r="G359" s="27"/>
      <c r="H359" s="27"/>
    </row>
    <row r="360" spans="1:8">
      <c r="A360" s="27"/>
      <c r="B360" s="27"/>
      <c r="C360" s="27"/>
      <c r="D360" s="27"/>
      <c r="E360" s="27"/>
      <c r="F360" s="27"/>
      <c r="G360" s="27"/>
      <c r="H360" s="27"/>
    </row>
    <row r="361" spans="1:8">
      <c r="A361" s="27"/>
      <c r="B361" s="27"/>
      <c r="C361" s="27"/>
      <c r="D361" s="27"/>
      <c r="E361" s="27"/>
      <c r="F361" s="27"/>
      <c r="G361" s="27"/>
      <c r="H361" s="27"/>
    </row>
    <row r="362" spans="1:8">
      <c r="A362" s="27"/>
      <c r="B362" s="27"/>
      <c r="C362" s="27"/>
      <c r="D362" s="27"/>
      <c r="E362" s="27"/>
      <c r="F362" s="27"/>
      <c r="G362" s="27"/>
      <c r="H362" s="27"/>
    </row>
    <row r="363" spans="1:8">
      <c r="A363" s="27"/>
      <c r="B363" s="27"/>
      <c r="C363" s="27"/>
      <c r="D363" s="27"/>
      <c r="E363" s="27"/>
      <c r="F363" s="27"/>
      <c r="G363" s="27"/>
      <c r="H363" s="27"/>
    </row>
    <row r="364" spans="1:8">
      <c r="A364" s="27"/>
      <c r="B364" s="27"/>
      <c r="C364" s="27"/>
      <c r="D364" s="27"/>
      <c r="E364" s="27"/>
      <c r="F364" s="27"/>
      <c r="G364" s="27"/>
      <c r="H364" s="27"/>
    </row>
    <row r="365" spans="1:8">
      <c r="A365" s="27"/>
      <c r="B365" s="27"/>
      <c r="C365" s="27"/>
      <c r="D365" s="27"/>
      <c r="E365" s="27"/>
      <c r="F365" s="27"/>
      <c r="G365" s="27"/>
      <c r="H365" s="27"/>
    </row>
    <row r="366" spans="1:8">
      <c r="A366" s="27"/>
      <c r="B366" s="27"/>
      <c r="C366" s="27"/>
      <c r="D366" s="27"/>
      <c r="E366" s="27"/>
      <c r="F366" s="27"/>
      <c r="G366" s="27"/>
      <c r="H366" s="27"/>
    </row>
    <row r="367" spans="1:8">
      <c r="A367" s="27"/>
      <c r="B367" s="27"/>
      <c r="C367" s="27"/>
      <c r="D367" s="27"/>
      <c r="E367" s="27"/>
      <c r="F367" s="27"/>
      <c r="G367" s="27"/>
      <c r="H367" s="27"/>
    </row>
    <row r="368" spans="1:8">
      <c r="A368" s="27"/>
      <c r="B368" s="27"/>
      <c r="C368" s="27"/>
      <c r="D368" s="27"/>
      <c r="E368" s="27"/>
      <c r="F368" s="27"/>
      <c r="G368" s="27"/>
      <c r="H368" s="27"/>
    </row>
    <row r="369" spans="1:8">
      <c r="A369" s="27"/>
      <c r="B369" s="27"/>
      <c r="C369" s="27"/>
      <c r="D369" s="27"/>
      <c r="E369" s="27"/>
      <c r="F369" s="27"/>
      <c r="G369" s="27"/>
      <c r="H369" s="27"/>
    </row>
    <row r="370" spans="1:8">
      <c r="A370" s="27"/>
      <c r="B370" s="27"/>
      <c r="C370" s="27"/>
      <c r="D370" s="27"/>
      <c r="E370" s="27"/>
      <c r="F370" s="27"/>
      <c r="G370" s="27"/>
      <c r="H370" s="27"/>
    </row>
    <row r="371" spans="1:8">
      <c r="A371" s="27"/>
      <c r="B371" s="27"/>
      <c r="C371" s="27"/>
      <c r="D371" s="27"/>
      <c r="E371" s="27"/>
      <c r="F371" s="27"/>
      <c r="G371" s="27"/>
      <c r="H371" s="27"/>
    </row>
    <row r="372" spans="1:8">
      <c r="A372" s="27"/>
      <c r="B372" s="27"/>
      <c r="C372" s="27"/>
      <c r="D372" s="27"/>
      <c r="E372" s="27"/>
      <c r="F372" s="27"/>
      <c r="G372" s="27"/>
      <c r="H372" s="27"/>
    </row>
    <row r="373" spans="1:8">
      <c r="A373" s="27"/>
      <c r="B373" s="27"/>
      <c r="C373" s="27"/>
      <c r="D373" s="27"/>
      <c r="E373" s="27"/>
      <c r="F373" s="27"/>
      <c r="G373" s="27"/>
      <c r="H373" s="27"/>
    </row>
    <row r="374" spans="1:8">
      <c r="A374" s="27"/>
      <c r="B374" s="27"/>
      <c r="C374" s="27"/>
      <c r="D374" s="27"/>
      <c r="E374" s="27"/>
      <c r="F374" s="27"/>
      <c r="G374" s="27"/>
      <c r="H374" s="27"/>
    </row>
    <row r="375" spans="1:8">
      <c r="A375" s="27"/>
      <c r="B375" s="27"/>
      <c r="C375" s="27"/>
      <c r="D375" s="27"/>
      <c r="E375" s="27"/>
      <c r="F375" s="27"/>
      <c r="G375" s="27"/>
      <c r="H375" s="27"/>
    </row>
    <row r="376" spans="1:8">
      <c r="A376" s="27"/>
      <c r="B376" s="27"/>
      <c r="C376" s="27"/>
      <c r="D376" s="27"/>
      <c r="E376" s="27"/>
      <c r="F376" s="27"/>
      <c r="G376" s="27"/>
      <c r="H376" s="27"/>
    </row>
    <row r="377" spans="1:8">
      <c r="A377" s="27"/>
      <c r="B377" s="27"/>
      <c r="C377" s="27"/>
      <c r="D377" s="27"/>
      <c r="E377" s="27"/>
      <c r="F377" s="27"/>
      <c r="G377" s="27"/>
      <c r="H377" s="27"/>
    </row>
    <row r="378" spans="1:8">
      <c r="A378" s="27"/>
      <c r="B378" s="27"/>
      <c r="C378" s="27"/>
      <c r="D378" s="27"/>
      <c r="E378" s="27"/>
      <c r="F378" s="27"/>
      <c r="G378" s="27"/>
      <c r="H378" s="27"/>
    </row>
    <row r="379" spans="1:8">
      <c r="A379" s="27"/>
      <c r="B379" s="27"/>
      <c r="C379" s="27"/>
      <c r="D379" s="27"/>
      <c r="E379" s="27"/>
      <c r="F379" s="27"/>
      <c r="G379" s="27"/>
      <c r="H379" s="27"/>
    </row>
    <row r="380" spans="1:8">
      <c r="A380" s="27"/>
      <c r="B380" s="27"/>
      <c r="C380" s="27"/>
      <c r="D380" s="27"/>
      <c r="E380" s="27"/>
      <c r="F380" s="27"/>
      <c r="G380" s="27"/>
      <c r="H380" s="27"/>
    </row>
    <row r="381" spans="1:8">
      <c r="A381" s="27"/>
      <c r="B381" s="27"/>
      <c r="C381" s="27"/>
      <c r="D381" s="27"/>
      <c r="E381" s="27"/>
      <c r="F381" s="27"/>
      <c r="G381" s="27"/>
      <c r="H381" s="27"/>
    </row>
    <row r="382" spans="1:8">
      <c r="A382" s="27"/>
      <c r="B382" s="27"/>
      <c r="C382" s="27"/>
      <c r="D382" s="27"/>
      <c r="E382" s="27"/>
      <c r="F382" s="27"/>
      <c r="G382" s="27"/>
      <c r="H382" s="27"/>
    </row>
    <row r="383" spans="1:8">
      <c r="A383" s="27"/>
      <c r="B383" s="27"/>
      <c r="C383" s="27"/>
      <c r="D383" s="27"/>
      <c r="E383" s="27"/>
      <c r="F383" s="27"/>
      <c r="G383" s="27"/>
      <c r="H383" s="27"/>
    </row>
    <row r="384" spans="1:8">
      <c r="A384" s="27"/>
      <c r="B384" s="27"/>
      <c r="C384" s="27"/>
      <c r="D384" s="27"/>
      <c r="E384" s="27"/>
      <c r="F384" s="27"/>
      <c r="G384" s="27"/>
      <c r="H384" s="27"/>
    </row>
    <row r="385" spans="1:8">
      <c r="A385" s="27"/>
      <c r="B385" s="27"/>
      <c r="C385" s="27"/>
      <c r="D385" s="27"/>
      <c r="E385" s="27"/>
      <c r="F385" s="27"/>
      <c r="G385" s="27"/>
      <c r="H385" s="27"/>
    </row>
    <row r="386" spans="1:8">
      <c r="A386" s="27"/>
      <c r="B386" s="27"/>
      <c r="C386" s="27"/>
      <c r="D386" s="27"/>
      <c r="E386" s="27"/>
      <c r="F386" s="27"/>
      <c r="G386" s="27"/>
      <c r="H386" s="27"/>
    </row>
    <row r="387" spans="1:8">
      <c r="A387" s="27"/>
      <c r="B387" s="27"/>
      <c r="C387" s="27"/>
      <c r="D387" s="27"/>
      <c r="E387" s="27"/>
      <c r="F387" s="27"/>
      <c r="G387" s="27"/>
      <c r="H387" s="27"/>
    </row>
    <row r="388" spans="1:8">
      <c r="A388" s="27"/>
      <c r="B388" s="27"/>
      <c r="C388" s="27"/>
      <c r="D388" s="27"/>
      <c r="E388" s="27"/>
      <c r="F388" s="27"/>
      <c r="G388" s="27"/>
      <c r="H388" s="27"/>
    </row>
    <row r="389" spans="1:8">
      <c r="A389" s="27"/>
      <c r="B389" s="27"/>
      <c r="C389" s="27"/>
      <c r="D389" s="27"/>
      <c r="E389" s="27"/>
      <c r="F389" s="27"/>
      <c r="G389" s="27"/>
      <c r="H389" s="27"/>
    </row>
    <row r="390" spans="1:8">
      <c r="A390" s="27"/>
      <c r="B390" s="27"/>
      <c r="C390" s="27"/>
      <c r="D390" s="27"/>
      <c r="E390" s="27"/>
      <c r="F390" s="27"/>
      <c r="G390" s="27"/>
      <c r="H390" s="27"/>
    </row>
    <row r="391" spans="1:8">
      <c r="A391" s="27"/>
      <c r="B391" s="27"/>
      <c r="C391" s="27"/>
      <c r="D391" s="27"/>
      <c r="E391" s="27"/>
      <c r="F391" s="27"/>
      <c r="G391" s="27"/>
      <c r="H391" s="27"/>
    </row>
    <row r="392" spans="1:8">
      <c r="A392" s="27"/>
      <c r="B392" s="27"/>
      <c r="C392" s="27"/>
      <c r="D392" s="27"/>
      <c r="E392" s="27"/>
      <c r="F392" s="27"/>
      <c r="G392" s="27"/>
      <c r="H392" s="27"/>
    </row>
    <row r="393" spans="1:8">
      <c r="A393" s="27"/>
      <c r="B393" s="27"/>
      <c r="C393" s="27"/>
      <c r="D393" s="27"/>
      <c r="E393" s="27"/>
      <c r="F393" s="27"/>
      <c r="G393" s="27"/>
      <c r="H393" s="27"/>
    </row>
    <row r="394" spans="1:8">
      <c r="A394" s="27"/>
      <c r="B394" s="27"/>
      <c r="C394" s="27"/>
      <c r="D394" s="27"/>
      <c r="E394" s="27"/>
      <c r="F394" s="27"/>
      <c r="G394" s="27"/>
      <c r="H394" s="27"/>
    </row>
    <row r="395" spans="1:8">
      <c r="A395" s="27"/>
      <c r="B395" s="27"/>
      <c r="C395" s="27"/>
      <c r="D395" s="27"/>
      <c r="E395" s="27"/>
      <c r="F395" s="27"/>
      <c r="G395" s="27"/>
      <c r="H395" s="27"/>
    </row>
    <row r="396" spans="1:8">
      <c r="A396" s="27"/>
      <c r="B396" s="27"/>
      <c r="C396" s="27"/>
      <c r="D396" s="27"/>
      <c r="E396" s="27"/>
      <c r="F396" s="27"/>
      <c r="G396" s="27"/>
      <c r="H396" s="27"/>
    </row>
    <row r="397" spans="1:8">
      <c r="A397" s="27"/>
      <c r="B397" s="27"/>
      <c r="C397" s="27"/>
      <c r="D397" s="27"/>
      <c r="E397" s="27"/>
      <c r="F397" s="27"/>
      <c r="G397" s="27"/>
      <c r="H397" s="27"/>
    </row>
    <row r="398" spans="1:8">
      <c r="A398" s="27"/>
      <c r="B398" s="27"/>
      <c r="C398" s="27"/>
      <c r="D398" s="27"/>
      <c r="E398" s="27"/>
      <c r="F398" s="27"/>
      <c r="G398" s="27"/>
      <c r="H398" s="27"/>
    </row>
    <row r="399" spans="1:8">
      <c r="A399" s="27"/>
      <c r="B399" s="27"/>
      <c r="C399" s="27"/>
      <c r="D399" s="27"/>
      <c r="E399" s="27"/>
      <c r="F399" s="27"/>
      <c r="G399" s="27"/>
      <c r="H399" s="27"/>
    </row>
    <row r="400" spans="1:8">
      <c r="A400" s="27"/>
      <c r="B400" s="27"/>
      <c r="C400" s="27"/>
      <c r="D400" s="27"/>
      <c r="E400" s="27"/>
      <c r="F400" s="27"/>
      <c r="G400" s="27"/>
      <c r="H400" s="27"/>
    </row>
    <row r="401" spans="1:8">
      <c r="A401" s="27"/>
      <c r="B401" s="27"/>
      <c r="C401" s="27"/>
      <c r="D401" s="27"/>
      <c r="E401" s="27"/>
      <c r="F401" s="27"/>
      <c r="G401" s="27"/>
      <c r="H401" s="27"/>
    </row>
    <row r="402" spans="1:8">
      <c r="A402" s="27"/>
      <c r="B402" s="27"/>
      <c r="C402" s="27"/>
      <c r="D402" s="27"/>
      <c r="E402" s="27"/>
      <c r="F402" s="27"/>
      <c r="G402" s="27"/>
      <c r="H402" s="27"/>
    </row>
    <row r="403" spans="1:8">
      <c r="A403" s="27"/>
      <c r="B403" s="27"/>
      <c r="C403" s="27"/>
      <c r="D403" s="27"/>
      <c r="E403" s="27"/>
      <c r="F403" s="27"/>
      <c r="G403" s="27"/>
      <c r="H403" s="27"/>
    </row>
    <row r="404" spans="1:8">
      <c r="A404" s="27"/>
      <c r="B404" s="27"/>
      <c r="C404" s="27"/>
      <c r="D404" s="27"/>
      <c r="E404" s="27"/>
      <c r="F404" s="27"/>
      <c r="G404" s="27"/>
      <c r="H404" s="27"/>
    </row>
    <row r="405" spans="1:8">
      <c r="A405" s="27"/>
      <c r="B405" s="27"/>
      <c r="C405" s="27"/>
      <c r="D405" s="27"/>
      <c r="E405" s="27"/>
      <c r="F405" s="27"/>
      <c r="G405" s="27"/>
      <c r="H405" s="27"/>
    </row>
    <row r="406" spans="1:8">
      <c r="A406" s="27"/>
      <c r="B406" s="27"/>
      <c r="C406" s="27"/>
      <c r="D406" s="27"/>
      <c r="E406" s="27"/>
      <c r="F406" s="27"/>
      <c r="G406" s="27"/>
      <c r="H406" s="27"/>
    </row>
    <row r="407" spans="1:8">
      <c r="A407" s="27"/>
      <c r="B407" s="27"/>
      <c r="C407" s="27"/>
      <c r="D407" s="27"/>
      <c r="E407" s="27"/>
      <c r="F407" s="27"/>
      <c r="G407" s="27"/>
      <c r="H407" s="27"/>
    </row>
    <row r="408" spans="1:8">
      <c r="A408" s="27"/>
      <c r="B408" s="27"/>
      <c r="C408" s="27"/>
      <c r="D408" s="27"/>
      <c r="E408" s="27"/>
      <c r="F408" s="27"/>
      <c r="G408" s="27"/>
      <c r="H408" s="27"/>
    </row>
    <row r="409" spans="1:8">
      <c r="A409" s="27"/>
      <c r="B409" s="27"/>
      <c r="C409" s="27"/>
      <c r="D409" s="27"/>
      <c r="E409" s="27"/>
      <c r="F409" s="27"/>
      <c r="G409" s="27"/>
      <c r="H409" s="27"/>
    </row>
    <row r="410" spans="1:8">
      <c r="A410" s="27"/>
      <c r="B410" s="27"/>
      <c r="C410" s="27"/>
      <c r="D410" s="27"/>
      <c r="E410" s="27"/>
      <c r="F410" s="27"/>
      <c r="G410" s="27"/>
      <c r="H410" s="27"/>
    </row>
    <row r="411" spans="1:8">
      <c r="A411" s="27"/>
      <c r="B411" s="27"/>
      <c r="C411" s="27"/>
      <c r="D411" s="27"/>
      <c r="E411" s="27"/>
      <c r="F411" s="27"/>
      <c r="G411" s="27"/>
      <c r="H411" s="27"/>
    </row>
    <row r="412" spans="1:8">
      <c r="A412" s="27"/>
      <c r="B412" s="27"/>
      <c r="C412" s="27"/>
      <c r="D412" s="27"/>
      <c r="E412" s="27"/>
      <c r="F412" s="27"/>
      <c r="G412" s="27"/>
      <c r="H412" s="27"/>
    </row>
    <row r="413" spans="1:8">
      <c r="A413" s="27"/>
      <c r="B413" s="27"/>
      <c r="C413" s="27"/>
      <c r="D413" s="27"/>
      <c r="E413" s="27"/>
      <c r="F413" s="27"/>
      <c r="G413" s="27"/>
      <c r="H413" s="27"/>
    </row>
    <row r="414" spans="1:8">
      <c r="A414" s="27"/>
      <c r="B414" s="27"/>
      <c r="C414" s="27"/>
      <c r="D414" s="27"/>
      <c r="E414" s="27"/>
      <c r="F414" s="27"/>
      <c r="G414" s="27"/>
      <c r="H414" s="27"/>
    </row>
    <row r="415" spans="1:8">
      <c r="A415" s="27"/>
      <c r="B415" s="27"/>
      <c r="C415" s="27"/>
      <c r="D415" s="27"/>
      <c r="E415" s="27"/>
      <c r="F415" s="27"/>
      <c r="G415" s="27"/>
      <c r="H415" s="27"/>
    </row>
    <row r="416" spans="1:8">
      <c r="A416" s="27"/>
      <c r="B416" s="27"/>
      <c r="C416" s="27"/>
      <c r="D416" s="27"/>
      <c r="E416" s="27"/>
      <c r="F416" s="27"/>
      <c r="G416" s="27"/>
      <c r="H416" s="27"/>
    </row>
    <row r="417" spans="1:8">
      <c r="A417" s="27"/>
      <c r="B417" s="27"/>
      <c r="C417" s="27"/>
      <c r="D417" s="27"/>
      <c r="E417" s="27"/>
      <c r="F417" s="27"/>
      <c r="G417" s="27"/>
      <c r="H417" s="27"/>
    </row>
    <row r="418" spans="1:8">
      <c r="A418" s="27"/>
      <c r="B418" s="27"/>
      <c r="C418" s="27"/>
      <c r="D418" s="27"/>
      <c r="E418" s="27"/>
      <c r="F418" s="27"/>
      <c r="G418" s="27"/>
      <c r="H418" s="27"/>
    </row>
    <row r="419" spans="1:8">
      <c r="A419" s="27"/>
      <c r="B419" s="27"/>
      <c r="C419" s="27"/>
      <c r="D419" s="27"/>
      <c r="E419" s="27"/>
      <c r="F419" s="27"/>
      <c r="G419" s="27"/>
      <c r="H419" s="27"/>
    </row>
    <row r="420" spans="1:8">
      <c r="A420" s="27"/>
      <c r="B420" s="27"/>
      <c r="C420" s="27"/>
      <c r="D420" s="27"/>
      <c r="E420" s="27"/>
      <c r="F420" s="27"/>
      <c r="G420" s="27"/>
      <c r="H420" s="27"/>
    </row>
    <row r="421" spans="1:8">
      <c r="A421" s="27"/>
      <c r="B421" s="27"/>
      <c r="C421" s="27"/>
      <c r="D421" s="27"/>
      <c r="E421" s="27"/>
      <c r="F421" s="27"/>
      <c r="G421" s="27"/>
      <c r="H421" s="27"/>
    </row>
    <row r="422" spans="1:8">
      <c r="A422" s="27"/>
      <c r="B422" s="27"/>
      <c r="C422" s="27"/>
      <c r="D422" s="27"/>
      <c r="E422" s="27"/>
      <c r="F422" s="27"/>
      <c r="G422" s="27"/>
      <c r="H422" s="27"/>
    </row>
    <row r="423" spans="1:8">
      <c r="A423" s="27"/>
      <c r="B423" s="27"/>
      <c r="C423" s="27"/>
      <c r="D423" s="27"/>
      <c r="E423" s="27"/>
      <c r="F423" s="27"/>
      <c r="G423" s="27"/>
      <c r="H423" s="27"/>
    </row>
    <row r="424" spans="1:8">
      <c r="A424" s="27"/>
      <c r="B424" s="27"/>
      <c r="C424" s="27"/>
      <c r="D424" s="27"/>
      <c r="E424" s="27"/>
      <c r="F424" s="27"/>
      <c r="G424" s="27"/>
      <c r="H424" s="27"/>
    </row>
    <row r="425" spans="1:8">
      <c r="A425" s="27"/>
      <c r="B425" s="27"/>
      <c r="C425" s="27"/>
      <c r="D425" s="27"/>
      <c r="E425" s="27"/>
      <c r="F425" s="27"/>
      <c r="G425" s="27"/>
      <c r="H425" s="27"/>
    </row>
    <row r="426" spans="1:8">
      <c r="A426" s="27"/>
      <c r="B426" s="27"/>
      <c r="C426" s="27"/>
      <c r="D426" s="27"/>
      <c r="E426" s="27"/>
      <c r="F426" s="27"/>
      <c r="G426" s="27"/>
      <c r="H426" s="27"/>
    </row>
    <row r="427" spans="1:8">
      <c r="A427" s="27"/>
      <c r="B427" s="27"/>
      <c r="C427" s="27"/>
      <c r="D427" s="27"/>
      <c r="E427" s="27"/>
      <c r="F427" s="27"/>
      <c r="G427" s="27"/>
      <c r="H427" s="27"/>
    </row>
    <row r="428" spans="1:8">
      <c r="A428" s="27"/>
      <c r="B428" s="27"/>
      <c r="C428" s="27"/>
      <c r="D428" s="27"/>
      <c r="E428" s="27"/>
      <c r="F428" s="27"/>
      <c r="G428" s="27"/>
      <c r="H428" s="27"/>
    </row>
    <row r="429" spans="1:8">
      <c r="A429" s="27"/>
      <c r="B429" s="27"/>
      <c r="C429" s="27"/>
      <c r="D429" s="27"/>
      <c r="E429" s="27"/>
      <c r="F429" s="27"/>
      <c r="G429" s="27"/>
      <c r="H429" s="27"/>
    </row>
    <row r="430" spans="1:8">
      <c r="A430" s="27"/>
      <c r="B430" s="27"/>
      <c r="C430" s="27"/>
      <c r="D430" s="27"/>
      <c r="E430" s="27"/>
      <c r="F430" s="27"/>
      <c r="G430" s="27"/>
      <c r="H430" s="27"/>
    </row>
    <row r="431" spans="1:8">
      <c r="A431" s="27"/>
      <c r="B431" s="27"/>
      <c r="C431" s="27"/>
      <c r="D431" s="27"/>
      <c r="E431" s="27"/>
      <c r="F431" s="27"/>
      <c r="G431" s="27"/>
      <c r="H431" s="27"/>
    </row>
    <row r="432" spans="1:8">
      <c r="A432" s="27"/>
      <c r="B432" s="27"/>
      <c r="C432" s="27"/>
      <c r="D432" s="27"/>
      <c r="E432" s="27"/>
      <c r="F432" s="27"/>
      <c r="G432" s="27"/>
      <c r="H432" s="27"/>
    </row>
    <row r="433" spans="1:8">
      <c r="A433" s="27"/>
      <c r="B433" s="27"/>
      <c r="C433" s="27"/>
      <c r="D433" s="27"/>
      <c r="E433" s="27"/>
      <c r="F433" s="27"/>
      <c r="G433" s="27"/>
      <c r="H433" s="27"/>
    </row>
    <row r="434" spans="1:8">
      <c r="A434" s="27"/>
      <c r="B434" s="27"/>
      <c r="C434" s="27"/>
      <c r="D434" s="27"/>
      <c r="E434" s="27"/>
      <c r="F434" s="27"/>
      <c r="G434" s="27"/>
      <c r="H434" s="27"/>
    </row>
    <row r="435" spans="1:8">
      <c r="A435" s="27"/>
      <c r="B435" s="27"/>
      <c r="C435" s="27"/>
      <c r="D435" s="27"/>
      <c r="E435" s="27"/>
      <c r="F435" s="27"/>
      <c r="G435" s="27"/>
      <c r="H435" s="27"/>
    </row>
    <row r="436" spans="1:8">
      <c r="A436" s="27"/>
      <c r="B436" s="27"/>
      <c r="C436" s="27"/>
      <c r="D436" s="27"/>
      <c r="E436" s="27"/>
      <c r="F436" s="27"/>
      <c r="G436" s="27"/>
      <c r="H436" s="27"/>
    </row>
    <row r="437" spans="1:8">
      <c r="A437" s="27"/>
      <c r="B437" s="27"/>
      <c r="C437" s="27"/>
      <c r="D437" s="27"/>
      <c r="E437" s="27"/>
      <c r="F437" s="27"/>
      <c r="G437" s="27"/>
      <c r="H437" s="27"/>
    </row>
    <row r="438" spans="1:8">
      <c r="A438" s="27"/>
      <c r="B438" s="27"/>
      <c r="C438" s="27"/>
      <c r="D438" s="27"/>
      <c r="E438" s="27"/>
      <c r="F438" s="27"/>
      <c r="G438" s="27"/>
      <c r="H438" s="27"/>
    </row>
    <row r="439" spans="1:8">
      <c r="A439" s="27"/>
      <c r="B439" s="27"/>
      <c r="C439" s="27"/>
      <c r="D439" s="27"/>
      <c r="E439" s="27"/>
      <c r="F439" s="27"/>
      <c r="G439" s="27"/>
      <c r="H439" s="27"/>
    </row>
    <row r="440" spans="1:8">
      <c r="A440" s="27"/>
      <c r="B440" s="27"/>
      <c r="C440" s="27"/>
      <c r="D440" s="27"/>
      <c r="E440" s="27"/>
      <c r="F440" s="27"/>
      <c r="G440" s="27"/>
      <c r="H440" s="27"/>
    </row>
    <row r="441" spans="1:8">
      <c r="A441" s="27"/>
      <c r="B441" s="27"/>
      <c r="C441" s="27"/>
      <c r="D441" s="27"/>
      <c r="E441" s="27"/>
      <c r="F441" s="27"/>
      <c r="G441" s="27"/>
      <c r="H441" s="27"/>
    </row>
    <row r="442" spans="1:8">
      <c r="A442" s="27"/>
      <c r="B442" s="27"/>
      <c r="C442" s="27"/>
      <c r="D442" s="27"/>
      <c r="E442" s="27"/>
      <c r="F442" s="27"/>
      <c r="G442" s="27"/>
      <c r="H442" s="27"/>
    </row>
    <row r="443" spans="1:8">
      <c r="A443" s="27"/>
      <c r="B443" s="27"/>
      <c r="C443" s="27"/>
      <c r="D443" s="27"/>
      <c r="E443" s="27"/>
      <c r="F443" s="27"/>
      <c r="G443" s="27"/>
      <c r="H443" s="27"/>
    </row>
    <row r="444" spans="1:8">
      <c r="A444" s="27"/>
      <c r="B444" s="27"/>
      <c r="C444" s="27"/>
      <c r="D444" s="27"/>
      <c r="E444" s="27"/>
      <c r="F444" s="27"/>
      <c r="G444" s="27"/>
      <c r="H444" s="27"/>
    </row>
    <row r="445" spans="1:8">
      <c r="A445" s="27"/>
      <c r="B445" s="27"/>
      <c r="C445" s="27"/>
      <c r="D445" s="27"/>
      <c r="E445" s="27"/>
      <c r="F445" s="27"/>
      <c r="G445" s="27"/>
      <c r="H445" s="27"/>
    </row>
    <row r="446" spans="1:8">
      <c r="A446" s="27"/>
      <c r="B446" s="27"/>
      <c r="C446" s="27"/>
      <c r="D446" s="27"/>
      <c r="E446" s="27"/>
      <c r="F446" s="27"/>
      <c r="G446" s="27"/>
      <c r="H446" s="27"/>
    </row>
    <row r="447" spans="1:8">
      <c r="A447" s="27"/>
      <c r="B447" s="27"/>
      <c r="C447" s="27"/>
      <c r="D447" s="27"/>
      <c r="E447" s="27"/>
      <c r="F447" s="27"/>
      <c r="G447" s="27"/>
      <c r="H447" s="27"/>
    </row>
    <row r="448" spans="1:8">
      <c r="A448" s="27"/>
      <c r="B448" s="27"/>
      <c r="C448" s="27"/>
      <c r="D448" s="27"/>
      <c r="E448" s="27"/>
      <c r="F448" s="27"/>
      <c r="G448" s="27"/>
      <c r="H448" s="27"/>
    </row>
    <row r="449" spans="1:8">
      <c r="A449" s="27"/>
      <c r="B449" s="27"/>
      <c r="C449" s="27"/>
      <c r="D449" s="27"/>
      <c r="E449" s="27"/>
      <c r="F449" s="27"/>
      <c r="G449" s="27"/>
      <c r="H449" s="27"/>
    </row>
    <row r="450" spans="1:8">
      <c r="A450" s="27"/>
      <c r="B450" s="27"/>
      <c r="C450" s="27"/>
      <c r="D450" s="27"/>
      <c r="E450" s="27"/>
      <c r="F450" s="27"/>
      <c r="G450" s="27"/>
      <c r="H450" s="27"/>
    </row>
    <row r="451" spans="1:8">
      <c r="A451" s="27"/>
      <c r="B451" s="27"/>
      <c r="C451" s="27"/>
      <c r="D451" s="27"/>
      <c r="E451" s="27"/>
      <c r="F451" s="27"/>
      <c r="G451" s="27"/>
      <c r="H451" s="27"/>
    </row>
    <row r="452" spans="1:8">
      <c r="A452" s="27"/>
      <c r="B452" s="27"/>
      <c r="C452" s="27"/>
      <c r="D452" s="27"/>
      <c r="E452" s="27"/>
      <c r="F452" s="27"/>
      <c r="G452" s="27"/>
      <c r="H452" s="27"/>
    </row>
    <row r="453" spans="1:8">
      <c r="A453" s="27"/>
      <c r="B453" s="27"/>
      <c r="C453" s="27"/>
      <c r="D453" s="27"/>
      <c r="E453" s="27"/>
      <c r="F453" s="27"/>
      <c r="G453" s="27"/>
      <c r="H453" s="27"/>
    </row>
    <row r="454" spans="1:8">
      <c r="A454" s="27"/>
      <c r="B454" s="27"/>
      <c r="C454" s="27"/>
      <c r="D454" s="27"/>
      <c r="E454" s="27"/>
      <c r="F454" s="27"/>
      <c r="G454" s="27"/>
      <c r="H454" s="27"/>
    </row>
    <row r="455" spans="1:8">
      <c r="A455" s="27"/>
      <c r="B455" s="27"/>
      <c r="C455" s="27"/>
      <c r="D455" s="27"/>
      <c r="E455" s="27"/>
      <c r="F455" s="27"/>
      <c r="G455" s="27"/>
      <c r="H455" s="27"/>
    </row>
    <row r="456" spans="1:8">
      <c r="A456" s="27"/>
      <c r="B456" s="27"/>
      <c r="C456" s="27"/>
      <c r="D456" s="27"/>
      <c r="E456" s="27"/>
      <c r="F456" s="27"/>
      <c r="G456" s="27"/>
      <c r="H456" s="27"/>
    </row>
    <row r="457" spans="1:8">
      <c r="A457" s="27"/>
      <c r="B457" s="27"/>
      <c r="C457" s="27"/>
      <c r="D457" s="27"/>
      <c r="E457" s="27"/>
      <c r="F457" s="27"/>
      <c r="G457" s="27"/>
      <c r="H457" s="27"/>
    </row>
    <row r="458" spans="1:8">
      <c r="A458" s="27"/>
      <c r="B458" s="27"/>
      <c r="C458" s="27"/>
      <c r="D458" s="27"/>
      <c r="E458" s="27"/>
      <c r="F458" s="27"/>
      <c r="G458" s="27"/>
      <c r="H458" s="27"/>
    </row>
    <row r="459" spans="1:8">
      <c r="A459" s="27"/>
      <c r="B459" s="27"/>
      <c r="C459" s="27"/>
      <c r="D459" s="27"/>
      <c r="E459" s="27"/>
      <c r="F459" s="27"/>
      <c r="G459" s="27"/>
      <c r="H459" s="27"/>
    </row>
    <row r="460" spans="1:8">
      <c r="A460" s="27"/>
      <c r="B460" s="27"/>
      <c r="C460" s="27"/>
      <c r="D460" s="27"/>
      <c r="E460" s="27"/>
      <c r="F460" s="27"/>
      <c r="G460" s="27"/>
      <c r="H460" s="27"/>
    </row>
    <row r="461" spans="1:8">
      <c r="A461" s="27"/>
      <c r="B461" s="27"/>
      <c r="C461" s="27"/>
      <c r="D461" s="27"/>
      <c r="E461" s="27"/>
      <c r="F461" s="27"/>
      <c r="G461" s="27"/>
      <c r="H461" s="27"/>
    </row>
    <row r="462" spans="1:8">
      <c r="A462" s="27"/>
      <c r="B462" s="27"/>
      <c r="C462" s="27"/>
      <c r="D462" s="27"/>
      <c r="E462" s="27"/>
      <c r="F462" s="27"/>
      <c r="G462" s="27"/>
      <c r="H462" s="27"/>
    </row>
    <row r="463" spans="1:8">
      <c r="A463" s="27"/>
      <c r="B463" s="27"/>
      <c r="C463" s="27"/>
      <c r="D463" s="27"/>
      <c r="E463" s="27"/>
      <c r="F463" s="27"/>
      <c r="G463" s="27"/>
      <c r="H463" s="27"/>
    </row>
    <row r="464" spans="1:8">
      <c r="A464" s="27"/>
      <c r="B464" s="27"/>
      <c r="C464" s="27"/>
      <c r="D464" s="27"/>
      <c r="E464" s="27"/>
      <c r="F464" s="27"/>
      <c r="G464" s="27"/>
      <c r="H464" s="27"/>
    </row>
    <row r="465" spans="1:8">
      <c r="A465" s="27"/>
      <c r="B465" s="27"/>
      <c r="C465" s="27"/>
      <c r="D465" s="27"/>
      <c r="E465" s="27"/>
      <c r="F465" s="27"/>
      <c r="G465" s="27"/>
      <c r="H465" s="27"/>
    </row>
    <row r="466" spans="1:8">
      <c r="A466" s="27"/>
      <c r="B466" s="27"/>
      <c r="C466" s="27"/>
      <c r="D466" s="27"/>
      <c r="E466" s="27"/>
      <c r="F466" s="27"/>
      <c r="G466" s="27"/>
      <c r="H466" s="27"/>
    </row>
    <row r="467" spans="1:8">
      <c r="A467" s="27"/>
      <c r="B467" s="27"/>
      <c r="C467" s="27"/>
      <c r="D467" s="27"/>
      <c r="E467" s="27"/>
      <c r="F467" s="27"/>
      <c r="G467" s="27"/>
      <c r="H467" s="27"/>
    </row>
    <row r="468" spans="1:8">
      <c r="A468" s="27"/>
      <c r="B468" s="27"/>
      <c r="C468" s="27"/>
      <c r="D468" s="27"/>
      <c r="E468" s="27"/>
      <c r="F468" s="27"/>
      <c r="G468" s="27"/>
      <c r="H468" s="27"/>
    </row>
    <row r="469" spans="1:8">
      <c r="A469" s="27"/>
      <c r="B469" s="27"/>
      <c r="C469" s="27"/>
      <c r="D469" s="27"/>
      <c r="E469" s="27"/>
      <c r="F469" s="27"/>
      <c r="G469" s="27"/>
      <c r="H469" s="27"/>
    </row>
    <row r="470" spans="1:8">
      <c r="A470" s="27"/>
      <c r="B470" s="27"/>
      <c r="C470" s="27"/>
      <c r="D470" s="27"/>
      <c r="E470" s="27"/>
      <c r="F470" s="27"/>
      <c r="G470" s="27"/>
      <c r="H470" s="27"/>
    </row>
    <row r="471" spans="1:8">
      <c r="A471" s="27"/>
      <c r="B471" s="27"/>
      <c r="C471" s="27"/>
      <c r="D471" s="27"/>
      <c r="E471" s="27"/>
      <c r="F471" s="27"/>
      <c r="G471" s="27"/>
      <c r="H471" s="27"/>
    </row>
    <row r="472" spans="1:8">
      <c r="A472" s="27"/>
      <c r="B472" s="27"/>
      <c r="C472" s="27"/>
      <c r="D472" s="27"/>
      <c r="E472" s="27"/>
      <c r="F472" s="27"/>
      <c r="G472" s="27"/>
      <c r="H472" s="27"/>
    </row>
    <row r="473" spans="1:8">
      <c r="A473" s="27"/>
      <c r="B473" s="27"/>
      <c r="C473" s="27"/>
      <c r="D473" s="27"/>
      <c r="E473" s="27"/>
      <c r="F473" s="27"/>
      <c r="G473" s="27"/>
      <c r="H473" s="27"/>
    </row>
    <row r="474" spans="1:8">
      <c r="A474" s="27"/>
      <c r="B474" s="27"/>
      <c r="C474" s="27"/>
      <c r="D474" s="27"/>
      <c r="E474" s="27"/>
      <c r="F474" s="27"/>
      <c r="G474" s="27"/>
      <c r="H474" s="27"/>
    </row>
    <row r="475" spans="1:8">
      <c r="A475" s="27"/>
      <c r="B475" s="27"/>
      <c r="C475" s="27"/>
      <c r="D475" s="27"/>
      <c r="E475" s="27"/>
      <c r="F475" s="27"/>
      <c r="G475" s="27"/>
      <c r="H475" s="27"/>
    </row>
    <row r="476" spans="1:8">
      <c r="A476" s="27"/>
      <c r="B476" s="27"/>
      <c r="C476" s="27"/>
      <c r="D476" s="27"/>
      <c r="E476" s="27"/>
      <c r="F476" s="27"/>
      <c r="G476" s="27"/>
      <c r="H476" s="27"/>
    </row>
    <row r="477" spans="1:8">
      <c r="A477" s="27"/>
      <c r="B477" s="27"/>
      <c r="C477" s="27"/>
      <c r="D477" s="27"/>
      <c r="E477" s="27"/>
      <c r="F477" s="27"/>
      <c r="G477" s="27"/>
      <c r="H477" s="27"/>
    </row>
    <row r="478" spans="1:8">
      <c r="A478" s="27"/>
      <c r="B478" s="27"/>
      <c r="C478" s="27"/>
      <c r="D478" s="27"/>
      <c r="E478" s="27"/>
      <c r="F478" s="27"/>
      <c r="G478" s="27"/>
      <c r="H478" s="27"/>
    </row>
    <row r="479" spans="1:8">
      <c r="A479" s="27"/>
      <c r="B479" s="27"/>
      <c r="C479" s="27"/>
      <c r="D479" s="27"/>
      <c r="E479" s="27"/>
      <c r="F479" s="27"/>
      <c r="G479" s="27"/>
      <c r="H479" s="27"/>
    </row>
    <row r="480" spans="1:8">
      <c r="A480" s="27"/>
      <c r="B480" s="27"/>
      <c r="C480" s="27"/>
      <c r="D480" s="27"/>
      <c r="E480" s="27"/>
      <c r="F480" s="27"/>
      <c r="G480" s="27"/>
      <c r="H480" s="27"/>
    </row>
    <row r="481" spans="1:8">
      <c r="A481" s="27"/>
      <c r="B481" s="27"/>
      <c r="C481" s="27"/>
      <c r="D481" s="27"/>
      <c r="E481" s="27"/>
      <c r="F481" s="27"/>
      <c r="G481" s="27"/>
      <c r="H481" s="27"/>
    </row>
    <row r="482" spans="1:8">
      <c r="A482" s="27"/>
      <c r="B482" s="27"/>
      <c r="C482" s="27"/>
      <c r="D482" s="27"/>
      <c r="E482" s="27"/>
      <c r="F482" s="27"/>
      <c r="G482" s="27"/>
      <c r="H482" s="27"/>
    </row>
    <row r="483" spans="1:8">
      <c r="A483" s="27"/>
      <c r="B483" s="27"/>
      <c r="C483" s="27"/>
      <c r="D483" s="27"/>
      <c r="E483" s="27"/>
      <c r="F483" s="27"/>
      <c r="G483" s="27"/>
      <c r="H483" s="27"/>
    </row>
    <row r="484" spans="1:8">
      <c r="A484" s="27"/>
      <c r="B484" s="27"/>
      <c r="C484" s="27"/>
      <c r="D484" s="27"/>
      <c r="E484" s="27"/>
      <c r="F484" s="27"/>
      <c r="G484" s="27"/>
      <c r="H484" s="27"/>
    </row>
    <row r="485" spans="1:8">
      <c r="A485" s="27"/>
      <c r="B485" s="27"/>
      <c r="C485" s="27"/>
      <c r="D485" s="27"/>
      <c r="E485" s="27"/>
      <c r="F485" s="27"/>
      <c r="G485" s="27"/>
      <c r="H485" s="27"/>
    </row>
    <row r="486" spans="1:8">
      <c r="A486" s="27"/>
      <c r="B486" s="27"/>
      <c r="C486" s="27"/>
      <c r="D486" s="27"/>
      <c r="E486" s="27"/>
      <c r="F486" s="27"/>
      <c r="G486" s="27"/>
      <c r="H486" s="27"/>
    </row>
    <row r="487" spans="1:8">
      <c r="A487" s="27"/>
      <c r="B487" s="27"/>
      <c r="C487" s="27"/>
      <c r="D487" s="27"/>
      <c r="E487" s="27"/>
      <c r="F487" s="27"/>
      <c r="G487" s="27"/>
      <c r="H487" s="27"/>
    </row>
    <row r="488" spans="1:8">
      <c r="A488" s="27"/>
      <c r="B488" s="27"/>
      <c r="C488" s="27"/>
      <c r="D488" s="27"/>
      <c r="E488" s="27"/>
      <c r="F488" s="27"/>
      <c r="G488" s="27"/>
      <c r="H488" s="27"/>
    </row>
    <row r="489" spans="1:8">
      <c r="A489" s="27"/>
      <c r="B489" s="27"/>
      <c r="C489" s="27"/>
      <c r="D489" s="27"/>
      <c r="E489" s="27"/>
      <c r="F489" s="27"/>
      <c r="G489" s="27"/>
      <c r="H489" s="27"/>
    </row>
    <row r="490" spans="1:8">
      <c r="A490" s="27"/>
      <c r="B490" s="27"/>
      <c r="C490" s="27"/>
      <c r="D490" s="27"/>
      <c r="E490" s="27"/>
      <c r="F490" s="27"/>
      <c r="G490" s="27"/>
      <c r="H490" s="27"/>
    </row>
    <row r="491" spans="1:8">
      <c r="A491" s="27"/>
      <c r="B491" s="27"/>
      <c r="C491" s="27"/>
      <c r="D491" s="27"/>
      <c r="E491" s="27"/>
      <c r="F491" s="27"/>
      <c r="G491" s="27"/>
      <c r="H491" s="27"/>
    </row>
    <row r="492" spans="1:8">
      <c r="A492" s="27"/>
      <c r="B492" s="27"/>
      <c r="C492" s="27"/>
      <c r="D492" s="27"/>
      <c r="E492" s="27"/>
      <c r="F492" s="27"/>
      <c r="G492" s="27"/>
      <c r="H492" s="27"/>
    </row>
    <row r="493" spans="1:8">
      <c r="A493" s="27"/>
      <c r="B493" s="27"/>
      <c r="C493" s="27"/>
      <c r="D493" s="27"/>
      <c r="E493" s="27"/>
      <c r="F493" s="27"/>
      <c r="G493" s="27"/>
      <c r="H493" s="27"/>
    </row>
    <row r="494" spans="1:8">
      <c r="A494" s="27"/>
      <c r="B494" s="27"/>
      <c r="C494" s="27"/>
      <c r="D494" s="27"/>
      <c r="E494" s="27"/>
      <c r="F494" s="27"/>
      <c r="G494" s="27"/>
      <c r="H494" s="27"/>
    </row>
    <row r="495" spans="1:8">
      <c r="A495" s="27"/>
      <c r="B495" s="27"/>
      <c r="C495" s="27"/>
      <c r="D495" s="27"/>
      <c r="E495" s="27"/>
      <c r="F495" s="27"/>
      <c r="G495" s="27"/>
      <c r="H495" s="27"/>
    </row>
    <row r="496" spans="1:8">
      <c r="A496" s="27"/>
      <c r="B496" s="27"/>
      <c r="C496" s="27"/>
      <c r="D496" s="27"/>
      <c r="E496" s="27"/>
      <c r="F496" s="27"/>
      <c r="G496" s="27"/>
      <c r="H496" s="27"/>
    </row>
    <row r="497" spans="1:8">
      <c r="A497" s="27"/>
      <c r="B497" s="27"/>
      <c r="C497" s="27"/>
      <c r="D497" s="27"/>
      <c r="E497" s="27"/>
      <c r="F497" s="27"/>
      <c r="G497" s="27"/>
      <c r="H497" s="27"/>
    </row>
    <row r="498" spans="1:8">
      <c r="A498" s="27"/>
      <c r="B498" s="27"/>
      <c r="C498" s="27"/>
      <c r="D498" s="27"/>
      <c r="E498" s="27"/>
      <c r="F498" s="27"/>
      <c r="G498" s="27"/>
      <c r="H498" s="27"/>
    </row>
    <row r="499" spans="1:8">
      <c r="A499" s="27"/>
      <c r="B499" s="27"/>
      <c r="C499" s="27"/>
      <c r="D499" s="27"/>
      <c r="E499" s="27"/>
      <c r="F499" s="27"/>
      <c r="G499" s="27"/>
      <c r="H499" s="27"/>
    </row>
    <row r="500" spans="1:8">
      <c r="A500" s="27"/>
      <c r="B500" s="27"/>
      <c r="C500" s="27"/>
      <c r="D500" s="27"/>
      <c r="E500" s="27"/>
      <c r="F500" s="27"/>
      <c r="G500" s="27"/>
      <c r="H500" s="27"/>
    </row>
    <row r="501" spans="1:8">
      <c r="A501" s="27"/>
      <c r="B501" s="27"/>
      <c r="C501" s="27"/>
      <c r="D501" s="27"/>
      <c r="E501" s="27"/>
      <c r="F501" s="27"/>
      <c r="G501" s="27"/>
      <c r="H501" s="27"/>
    </row>
    <row r="502" spans="1:8">
      <c r="A502" s="27"/>
      <c r="B502" s="27"/>
      <c r="C502" s="27"/>
      <c r="D502" s="27"/>
      <c r="E502" s="27"/>
      <c r="F502" s="27"/>
      <c r="G502" s="27"/>
      <c r="H502" s="27"/>
    </row>
    <row r="503" spans="1:8">
      <c r="A503" s="27"/>
      <c r="B503" s="27"/>
      <c r="C503" s="27"/>
      <c r="D503" s="27"/>
      <c r="E503" s="27"/>
      <c r="F503" s="27"/>
      <c r="G503" s="27"/>
      <c r="H503" s="27"/>
    </row>
    <row r="504" spans="1:8">
      <c r="A504" s="27"/>
      <c r="B504" s="27"/>
      <c r="C504" s="27"/>
      <c r="D504" s="27"/>
      <c r="E504" s="27"/>
      <c r="F504" s="27"/>
      <c r="G504" s="27"/>
      <c r="H504" s="27"/>
    </row>
    <row r="505" spans="1:8">
      <c r="A505" s="27"/>
      <c r="B505" s="27"/>
      <c r="C505" s="27"/>
      <c r="D505" s="27"/>
      <c r="E505" s="27"/>
      <c r="F505" s="27"/>
      <c r="G505" s="27"/>
      <c r="H505" s="27"/>
    </row>
    <row r="506" spans="1:8">
      <c r="A506" s="27"/>
      <c r="B506" s="27"/>
      <c r="C506" s="27"/>
      <c r="D506" s="27"/>
      <c r="E506" s="27"/>
      <c r="F506" s="27"/>
      <c r="G506" s="27"/>
      <c r="H506" s="27"/>
    </row>
    <row r="507" spans="1:8">
      <c r="A507" s="27"/>
      <c r="B507" s="27"/>
      <c r="C507" s="27"/>
      <c r="D507" s="27"/>
      <c r="E507" s="27"/>
      <c r="F507" s="27"/>
      <c r="G507" s="27"/>
      <c r="H507" s="27"/>
    </row>
    <row r="508" spans="1:8">
      <c r="A508" s="27"/>
      <c r="B508" s="27"/>
      <c r="C508" s="27"/>
      <c r="D508" s="27"/>
      <c r="E508" s="27"/>
      <c r="F508" s="27"/>
      <c r="G508" s="27"/>
      <c r="H508" s="27"/>
    </row>
    <row r="509" spans="1:8">
      <c r="A509" s="27"/>
      <c r="B509" s="27"/>
      <c r="C509" s="27"/>
      <c r="D509" s="27"/>
      <c r="E509" s="27"/>
      <c r="F509" s="27"/>
      <c r="G509" s="27"/>
      <c r="H509" s="27"/>
    </row>
    <row r="510" spans="1:8">
      <c r="A510" s="27"/>
      <c r="B510" s="27"/>
      <c r="C510" s="27"/>
      <c r="D510" s="27"/>
      <c r="E510" s="27"/>
      <c r="F510" s="27"/>
      <c r="G510" s="27"/>
      <c r="H510" s="27"/>
    </row>
    <row r="511" spans="1:8">
      <c r="A511" s="27"/>
      <c r="B511" s="27"/>
      <c r="C511" s="27"/>
      <c r="D511" s="27"/>
      <c r="E511" s="27"/>
      <c r="F511" s="27"/>
      <c r="G511" s="27"/>
      <c r="H511" s="27"/>
    </row>
    <row r="512" spans="1:8">
      <c r="A512" s="27"/>
      <c r="B512" s="27"/>
      <c r="C512" s="27"/>
      <c r="D512" s="27"/>
      <c r="E512" s="27"/>
      <c r="F512" s="27"/>
      <c r="G512" s="27"/>
      <c r="H512" s="27"/>
    </row>
    <row r="513" spans="1:8">
      <c r="A513" s="27"/>
      <c r="B513" s="27"/>
      <c r="C513" s="27"/>
      <c r="D513" s="27"/>
      <c r="E513" s="27"/>
      <c r="F513" s="27"/>
      <c r="G513" s="27"/>
      <c r="H513" s="27"/>
    </row>
    <row r="514" spans="1:8">
      <c r="A514" s="27"/>
      <c r="B514" s="27"/>
      <c r="C514" s="27"/>
      <c r="D514" s="27"/>
      <c r="E514" s="27"/>
      <c r="F514" s="27"/>
      <c r="G514" s="27"/>
      <c r="H514" s="27"/>
    </row>
    <row r="515" spans="1:8">
      <c r="A515" s="27"/>
      <c r="B515" s="27"/>
      <c r="C515" s="27"/>
      <c r="D515" s="27"/>
      <c r="E515" s="27"/>
      <c r="F515" s="27"/>
      <c r="G515" s="27"/>
      <c r="H515" s="27"/>
    </row>
    <row r="516" spans="1:8">
      <c r="A516" s="27"/>
      <c r="B516" s="27"/>
      <c r="C516" s="27"/>
      <c r="D516" s="27"/>
      <c r="E516" s="27"/>
      <c r="F516" s="27"/>
      <c r="G516" s="27"/>
      <c r="H516" s="27"/>
    </row>
    <row r="517" spans="1:8">
      <c r="A517" s="27"/>
      <c r="B517" s="27"/>
      <c r="C517" s="27"/>
      <c r="D517" s="27"/>
      <c r="E517" s="27"/>
      <c r="F517" s="27"/>
      <c r="G517" s="27"/>
      <c r="H517" s="27"/>
    </row>
    <row r="518" spans="1:8">
      <c r="A518" s="27"/>
      <c r="B518" s="27"/>
      <c r="C518" s="27"/>
      <c r="D518" s="27"/>
      <c r="E518" s="27"/>
      <c r="F518" s="27"/>
      <c r="G518" s="27"/>
      <c r="H518" s="27"/>
    </row>
    <row r="519" spans="1:8">
      <c r="A519" s="27"/>
      <c r="B519" s="27"/>
      <c r="C519" s="27"/>
      <c r="D519" s="27"/>
      <c r="E519" s="27"/>
      <c r="F519" s="27"/>
      <c r="G519" s="27"/>
      <c r="H519" s="27"/>
    </row>
    <row r="520" spans="1:8">
      <c r="A520" s="27"/>
      <c r="B520" s="27"/>
      <c r="C520" s="27"/>
      <c r="D520" s="27"/>
      <c r="E520" s="27"/>
      <c r="F520" s="27"/>
      <c r="G520" s="27"/>
      <c r="H520" s="27"/>
    </row>
    <row r="521" spans="1:8">
      <c r="A521" s="27"/>
      <c r="B521" s="27"/>
      <c r="C521" s="27"/>
      <c r="D521" s="27"/>
      <c r="E521" s="27"/>
      <c r="F521" s="27"/>
      <c r="G521" s="27"/>
      <c r="H521" s="27"/>
    </row>
    <row r="522" spans="1:8">
      <c r="A522" s="27"/>
      <c r="B522" s="27"/>
      <c r="C522" s="27"/>
      <c r="D522" s="27"/>
      <c r="E522" s="27"/>
      <c r="F522" s="27"/>
      <c r="G522" s="27"/>
      <c r="H522" s="27"/>
    </row>
    <row r="523" spans="1:8">
      <c r="A523" s="27"/>
      <c r="B523" s="27"/>
      <c r="C523" s="27"/>
      <c r="D523" s="27"/>
      <c r="E523" s="27"/>
      <c r="F523" s="27"/>
      <c r="G523" s="27"/>
      <c r="H523" s="27"/>
    </row>
    <row r="524" spans="1:8">
      <c r="A524" s="27"/>
      <c r="B524" s="27"/>
      <c r="C524" s="27"/>
      <c r="D524" s="27"/>
      <c r="E524" s="27"/>
      <c r="F524" s="27"/>
      <c r="G524" s="27"/>
      <c r="H524" s="27"/>
    </row>
    <row r="525" spans="1:8">
      <c r="A525" s="27"/>
      <c r="B525" s="27"/>
      <c r="C525" s="27"/>
      <c r="D525" s="27"/>
      <c r="E525" s="27"/>
      <c r="F525" s="27"/>
      <c r="G525" s="27"/>
      <c r="H525" s="27"/>
    </row>
    <row r="526" spans="1:8">
      <c r="A526" s="27"/>
      <c r="B526" s="27"/>
      <c r="C526" s="27"/>
      <c r="D526" s="27"/>
      <c r="E526" s="27"/>
      <c r="F526" s="27"/>
      <c r="G526" s="27"/>
      <c r="H526" s="27"/>
    </row>
    <row r="527" spans="1:8">
      <c r="A527" s="27"/>
      <c r="B527" s="27"/>
      <c r="C527" s="27"/>
      <c r="D527" s="27"/>
      <c r="E527" s="27"/>
      <c r="F527" s="27"/>
      <c r="G527" s="27"/>
      <c r="H527" s="27"/>
    </row>
    <row r="528" spans="1:8">
      <c r="A528" s="27"/>
      <c r="B528" s="27"/>
      <c r="C528" s="27"/>
      <c r="D528" s="27"/>
      <c r="E528" s="27"/>
      <c r="F528" s="27"/>
      <c r="G528" s="27"/>
      <c r="H528" s="27"/>
    </row>
    <row r="529" spans="1:8">
      <c r="A529" s="27"/>
      <c r="B529" s="27"/>
      <c r="C529" s="27"/>
      <c r="D529" s="27"/>
      <c r="E529" s="27"/>
      <c r="F529" s="27"/>
      <c r="G529" s="27"/>
      <c r="H529" s="27"/>
    </row>
    <row r="530" spans="1:8">
      <c r="A530" s="27"/>
      <c r="B530" s="27"/>
      <c r="C530" s="27"/>
      <c r="D530" s="27"/>
      <c r="E530" s="27"/>
      <c r="F530" s="27"/>
      <c r="G530" s="27"/>
      <c r="H530" s="27"/>
    </row>
    <row r="531" spans="1:8">
      <c r="A531" s="27"/>
      <c r="B531" s="27"/>
      <c r="C531" s="27"/>
      <c r="D531" s="27"/>
      <c r="E531" s="27"/>
      <c r="F531" s="27"/>
      <c r="G531" s="27"/>
      <c r="H531" s="27"/>
    </row>
    <row r="532" spans="1:8">
      <c r="A532" s="27"/>
      <c r="B532" s="27"/>
      <c r="C532" s="27"/>
      <c r="D532" s="27"/>
      <c r="E532" s="27"/>
      <c r="F532" s="27"/>
      <c r="G532" s="27"/>
      <c r="H532" s="27"/>
    </row>
    <row r="533" spans="1:8">
      <c r="A533" s="27"/>
      <c r="B533" s="27"/>
      <c r="C533" s="27"/>
      <c r="D533" s="27"/>
      <c r="E533" s="27"/>
      <c r="F533" s="27"/>
      <c r="G533" s="27"/>
      <c r="H533" s="27"/>
    </row>
    <row r="534" spans="1:8">
      <c r="A534" s="27"/>
      <c r="B534" s="27"/>
      <c r="C534" s="27"/>
      <c r="D534" s="27"/>
      <c r="E534" s="27"/>
      <c r="F534" s="27"/>
      <c r="G534" s="27"/>
      <c r="H534" s="27"/>
    </row>
    <row r="535" spans="1:8">
      <c r="A535" s="27"/>
      <c r="B535" s="27"/>
      <c r="C535" s="27"/>
      <c r="D535" s="27"/>
      <c r="E535" s="27"/>
      <c r="F535" s="27"/>
      <c r="G535" s="27"/>
      <c r="H535" s="27"/>
    </row>
    <row r="536" spans="1:8">
      <c r="A536" s="27"/>
      <c r="B536" s="27"/>
      <c r="C536" s="27"/>
      <c r="D536" s="27"/>
      <c r="E536" s="27"/>
      <c r="F536" s="27"/>
      <c r="G536" s="27"/>
      <c r="H536" s="27"/>
    </row>
    <row r="537" spans="1:8">
      <c r="A537" s="27"/>
      <c r="B537" s="27"/>
      <c r="C537" s="27"/>
      <c r="D537" s="27"/>
      <c r="E537" s="27"/>
      <c r="F537" s="27"/>
      <c r="G537" s="27"/>
      <c r="H537" s="27"/>
    </row>
    <row r="538" spans="1:8">
      <c r="A538" s="27"/>
      <c r="B538" s="27"/>
      <c r="C538" s="27"/>
      <c r="D538" s="27"/>
      <c r="E538" s="27"/>
      <c r="F538" s="27"/>
      <c r="G538" s="27"/>
      <c r="H538" s="27"/>
    </row>
    <row r="539" spans="1:8">
      <c r="A539" s="27"/>
      <c r="B539" s="27"/>
      <c r="C539" s="27"/>
      <c r="D539" s="27"/>
      <c r="E539" s="27"/>
      <c r="F539" s="27"/>
      <c r="G539" s="27"/>
      <c r="H539" s="27"/>
    </row>
    <row r="540" spans="1:8">
      <c r="A540" s="27"/>
      <c r="B540" s="27"/>
      <c r="C540" s="27"/>
      <c r="D540" s="27"/>
      <c r="E540" s="27"/>
      <c r="F540" s="27"/>
      <c r="G540" s="27"/>
      <c r="H540" s="27"/>
    </row>
    <row r="541" spans="1:8">
      <c r="A541" s="27"/>
      <c r="B541" s="27"/>
      <c r="C541" s="27"/>
      <c r="D541" s="27"/>
      <c r="E541" s="27"/>
      <c r="F541" s="27"/>
      <c r="G541" s="27"/>
      <c r="H541" s="27"/>
    </row>
    <row r="542" spans="1:8">
      <c r="A542" s="27"/>
      <c r="B542" s="27"/>
      <c r="C542" s="27"/>
      <c r="D542" s="27"/>
      <c r="E542" s="27"/>
      <c r="F542" s="27"/>
      <c r="G542" s="27"/>
      <c r="H542" s="27"/>
    </row>
    <row r="543" spans="1:8">
      <c r="A543" s="27"/>
      <c r="B543" s="27"/>
      <c r="C543" s="27"/>
      <c r="D543" s="27"/>
      <c r="E543" s="27"/>
      <c r="F543" s="27"/>
      <c r="G543" s="27"/>
      <c r="H543" s="27"/>
    </row>
    <row r="544" spans="1:8">
      <c r="A544" s="27"/>
      <c r="B544" s="27"/>
      <c r="C544" s="27"/>
      <c r="D544" s="27"/>
      <c r="E544" s="27"/>
      <c r="F544" s="27"/>
      <c r="G544" s="27"/>
      <c r="H544" s="27"/>
    </row>
    <row r="545" spans="1:8">
      <c r="A545" s="27"/>
      <c r="B545" s="27"/>
      <c r="C545" s="27"/>
      <c r="D545" s="27"/>
      <c r="E545" s="27"/>
      <c r="F545" s="27"/>
      <c r="G545" s="27"/>
      <c r="H545" s="27"/>
    </row>
    <row r="546" spans="1:8">
      <c r="A546" s="27"/>
      <c r="B546" s="27"/>
      <c r="C546" s="27"/>
      <c r="D546" s="27"/>
      <c r="E546" s="27"/>
      <c r="F546" s="27"/>
      <c r="G546" s="27"/>
      <c r="H546" s="27"/>
    </row>
    <row r="547" spans="1:8">
      <c r="A547" s="27"/>
      <c r="B547" s="27"/>
      <c r="C547" s="27"/>
      <c r="D547" s="27"/>
      <c r="E547" s="27"/>
      <c r="F547" s="27"/>
      <c r="G547" s="27"/>
      <c r="H547" s="27"/>
    </row>
    <row r="548" spans="1:8">
      <c r="A548" s="27"/>
      <c r="B548" s="27"/>
      <c r="C548" s="27"/>
      <c r="D548" s="27"/>
      <c r="E548" s="27"/>
      <c r="F548" s="27"/>
      <c r="G548" s="27"/>
      <c r="H548" s="27"/>
    </row>
    <row r="549" spans="1:8">
      <c r="A549" s="27"/>
      <c r="B549" s="27"/>
      <c r="C549" s="27"/>
      <c r="D549" s="27"/>
      <c r="E549" s="27"/>
      <c r="F549" s="27"/>
      <c r="G549" s="27"/>
      <c r="H549" s="27"/>
    </row>
    <row r="550" spans="1:8">
      <c r="A550" s="27"/>
      <c r="B550" s="27"/>
      <c r="C550" s="27"/>
      <c r="D550" s="27"/>
      <c r="E550" s="27"/>
      <c r="F550" s="27"/>
      <c r="G550" s="27"/>
      <c r="H550" s="27"/>
    </row>
    <row r="551" spans="1:8">
      <c r="A551" s="27"/>
      <c r="B551" s="27"/>
      <c r="C551" s="27"/>
      <c r="D551" s="27"/>
      <c r="E551" s="27"/>
      <c r="F551" s="27"/>
      <c r="G551" s="27"/>
      <c r="H551" s="27"/>
    </row>
    <row r="552" spans="1:8">
      <c r="A552" s="27"/>
      <c r="B552" s="27"/>
      <c r="C552" s="27"/>
      <c r="D552" s="27"/>
      <c r="E552" s="27"/>
      <c r="F552" s="27"/>
      <c r="G552" s="27"/>
      <c r="H552" s="27"/>
    </row>
    <row r="553" spans="1:8">
      <c r="A553" s="27"/>
      <c r="B553" s="27"/>
      <c r="C553" s="27"/>
      <c r="D553" s="27"/>
      <c r="E553" s="27"/>
      <c r="F553" s="27"/>
      <c r="G553" s="27"/>
      <c r="H553" s="27"/>
    </row>
    <row r="554" spans="1:8">
      <c r="A554" s="27"/>
      <c r="B554" s="27"/>
      <c r="C554" s="27"/>
      <c r="D554" s="27"/>
      <c r="E554" s="27"/>
      <c r="F554" s="27"/>
      <c r="G554" s="27"/>
      <c r="H554" s="27"/>
    </row>
    <row r="555" spans="1:8">
      <c r="A555" s="27"/>
      <c r="B555" s="27"/>
      <c r="C555" s="27"/>
      <c r="D555" s="27"/>
      <c r="E555" s="27"/>
      <c r="F555" s="27"/>
      <c r="G555" s="27"/>
      <c r="H555" s="27"/>
    </row>
    <row r="556" spans="1:8">
      <c r="A556" s="27"/>
      <c r="B556" s="27"/>
      <c r="C556" s="27"/>
      <c r="D556" s="27"/>
      <c r="E556" s="27"/>
      <c r="F556" s="27"/>
      <c r="G556" s="27"/>
      <c r="H556" s="27"/>
    </row>
    <row r="557" spans="1:8">
      <c r="A557" s="27"/>
      <c r="B557" s="27"/>
      <c r="C557" s="27"/>
      <c r="D557" s="27"/>
      <c r="E557" s="27"/>
      <c r="F557" s="27"/>
      <c r="G557" s="27"/>
      <c r="H557" s="27"/>
    </row>
    <row r="558" spans="1:8">
      <c r="A558" s="27"/>
      <c r="B558" s="27"/>
      <c r="C558" s="27"/>
      <c r="D558" s="27"/>
      <c r="E558" s="27"/>
      <c r="F558" s="27"/>
      <c r="G558" s="27"/>
      <c r="H558" s="27"/>
    </row>
    <row r="559" spans="1:8">
      <c r="A559" s="27"/>
      <c r="B559" s="27"/>
      <c r="C559" s="27"/>
      <c r="D559" s="27"/>
      <c r="E559" s="27"/>
      <c r="F559" s="27"/>
      <c r="G559" s="27"/>
      <c r="H559" s="27"/>
    </row>
    <row r="560" spans="1:8">
      <c r="A560" s="27"/>
      <c r="B560" s="27"/>
      <c r="C560" s="27"/>
      <c r="D560" s="27"/>
      <c r="E560" s="27"/>
      <c r="F560" s="27"/>
      <c r="G560" s="27"/>
      <c r="H560" s="27"/>
    </row>
    <row r="561" spans="1:8">
      <c r="A561" s="27"/>
      <c r="B561" s="27"/>
      <c r="C561" s="27"/>
      <c r="D561" s="27"/>
      <c r="E561" s="27"/>
      <c r="F561" s="27"/>
      <c r="G561" s="27"/>
      <c r="H561" s="27"/>
    </row>
    <row r="562" spans="1:8">
      <c r="A562" s="27"/>
      <c r="B562" s="27"/>
      <c r="C562" s="27"/>
      <c r="D562" s="27"/>
      <c r="E562" s="27"/>
      <c r="F562" s="27"/>
      <c r="G562" s="27"/>
      <c r="H562" s="27"/>
    </row>
    <row r="563" spans="1:8">
      <c r="A563" s="27"/>
      <c r="B563" s="27"/>
      <c r="C563" s="27"/>
      <c r="D563" s="27"/>
      <c r="E563" s="27"/>
      <c r="F563" s="27"/>
      <c r="G563" s="27"/>
      <c r="H563" s="27"/>
    </row>
    <row r="564" spans="1:8">
      <c r="A564" s="27"/>
      <c r="B564" s="27"/>
      <c r="C564" s="27"/>
      <c r="D564" s="27"/>
      <c r="E564" s="27"/>
      <c r="F564" s="27"/>
      <c r="G564" s="27"/>
      <c r="H564" s="27"/>
    </row>
    <row r="565" spans="1:8">
      <c r="A565" s="27"/>
      <c r="B565" s="27"/>
      <c r="C565" s="27"/>
      <c r="D565" s="27"/>
      <c r="E565" s="27"/>
      <c r="F565" s="27"/>
      <c r="G565" s="27"/>
      <c r="H565" s="27"/>
    </row>
    <row r="566" spans="1:8">
      <c r="A566" s="27"/>
      <c r="B566" s="27"/>
      <c r="C566" s="27"/>
      <c r="D566" s="27"/>
      <c r="E566" s="27"/>
      <c r="F566" s="27"/>
      <c r="G566" s="27"/>
      <c r="H566" s="27"/>
    </row>
    <row r="567" spans="1:8">
      <c r="A567" s="27"/>
      <c r="B567" s="27"/>
      <c r="C567" s="27"/>
      <c r="D567" s="27"/>
      <c r="E567" s="27"/>
      <c r="F567" s="27"/>
      <c r="G567" s="27"/>
      <c r="H567" s="27"/>
    </row>
    <row r="568" spans="1:8">
      <c r="A568" s="27"/>
      <c r="B568" s="27"/>
      <c r="C568" s="27"/>
      <c r="D568" s="27"/>
      <c r="E568" s="27"/>
      <c r="F568" s="27"/>
      <c r="G568" s="27"/>
      <c r="H568" s="27"/>
    </row>
    <row r="569" spans="1:8">
      <c r="A569" s="27"/>
      <c r="B569" s="27"/>
      <c r="C569" s="27"/>
      <c r="D569" s="27"/>
      <c r="E569" s="27"/>
      <c r="F569" s="27"/>
      <c r="G569" s="27"/>
      <c r="H569" s="27"/>
    </row>
    <row r="570" spans="1:8">
      <c r="A570" s="27"/>
      <c r="B570" s="27"/>
      <c r="C570" s="27"/>
      <c r="D570" s="27"/>
      <c r="E570" s="27"/>
      <c r="F570" s="27"/>
      <c r="G570" s="27"/>
      <c r="H570" s="27"/>
    </row>
    <row r="571" spans="1:8">
      <c r="A571" s="27"/>
      <c r="B571" s="27"/>
      <c r="C571" s="27"/>
      <c r="D571" s="27"/>
      <c r="E571" s="27"/>
      <c r="F571" s="27"/>
      <c r="G571" s="27"/>
      <c r="H571" s="27"/>
    </row>
    <row r="572" spans="1:8">
      <c r="A572" s="27"/>
      <c r="B572" s="27"/>
      <c r="C572" s="27"/>
      <c r="D572" s="27"/>
      <c r="E572" s="27"/>
      <c r="F572" s="27"/>
      <c r="G572" s="27"/>
      <c r="H572" s="27"/>
    </row>
    <row r="573" spans="1:8">
      <c r="A573" s="27"/>
      <c r="B573" s="27"/>
      <c r="C573" s="27"/>
      <c r="D573" s="27"/>
      <c r="E573" s="27"/>
      <c r="F573" s="27"/>
      <c r="G573" s="27"/>
      <c r="H573" s="27"/>
    </row>
    <row r="574" spans="1:8">
      <c r="A574" s="27"/>
      <c r="B574" s="27"/>
      <c r="C574" s="27"/>
      <c r="D574" s="27"/>
      <c r="E574" s="27"/>
      <c r="F574" s="27"/>
      <c r="G574" s="27"/>
      <c r="H574" s="27"/>
    </row>
    <row r="575" spans="1:8">
      <c r="A575" s="27"/>
      <c r="B575" s="27"/>
      <c r="C575" s="27"/>
      <c r="D575" s="27"/>
      <c r="E575" s="27"/>
      <c r="F575" s="27"/>
      <c r="G575" s="27"/>
      <c r="H575" s="27"/>
    </row>
    <row r="576" spans="1:8">
      <c r="A576" s="27"/>
      <c r="B576" s="27"/>
      <c r="C576" s="27"/>
      <c r="D576" s="27"/>
      <c r="E576" s="27"/>
      <c r="F576" s="27"/>
      <c r="G576" s="27"/>
      <c r="H576" s="27"/>
    </row>
    <row r="577" spans="1:8">
      <c r="A577" s="27"/>
      <c r="B577" s="27"/>
      <c r="C577" s="27"/>
      <c r="D577" s="27"/>
      <c r="E577" s="27"/>
      <c r="F577" s="27"/>
      <c r="G577" s="27"/>
      <c r="H577" s="27"/>
    </row>
    <row r="578" spans="1:8">
      <c r="A578" s="27"/>
      <c r="B578" s="27"/>
      <c r="C578" s="27"/>
      <c r="D578" s="27"/>
      <c r="E578" s="27"/>
      <c r="F578" s="27"/>
      <c r="G578" s="27"/>
      <c r="H578" s="27"/>
    </row>
    <row r="579" spans="1:8">
      <c r="A579" s="27"/>
      <c r="B579" s="27"/>
      <c r="C579" s="27"/>
      <c r="D579" s="27"/>
      <c r="E579" s="27"/>
      <c r="F579" s="27"/>
      <c r="G579" s="27"/>
      <c r="H579" s="27"/>
    </row>
    <row r="580" spans="1:8">
      <c r="A580" s="27"/>
      <c r="B580" s="27"/>
      <c r="C580" s="27"/>
      <c r="D580" s="27"/>
      <c r="E580" s="27"/>
      <c r="F580" s="27"/>
      <c r="G580" s="27"/>
      <c r="H580" s="27"/>
    </row>
    <row r="581" spans="1:8">
      <c r="A581" s="27"/>
      <c r="B581" s="27"/>
      <c r="C581" s="27"/>
      <c r="D581" s="27"/>
      <c r="E581" s="27"/>
      <c r="F581" s="27"/>
      <c r="G581" s="27"/>
      <c r="H581" s="27"/>
    </row>
    <row r="582" spans="1:8">
      <c r="A582" s="27"/>
      <c r="B582" s="27"/>
      <c r="C582" s="27"/>
      <c r="D582" s="27"/>
      <c r="E582" s="27"/>
      <c r="F582" s="27"/>
      <c r="G582" s="27"/>
      <c r="H582" s="27"/>
    </row>
    <row r="583" spans="1:8">
      <c r="A583" s="27"/>
      <c r="B583" s="27"/>
      <c r="C583" s="27"/>
      <c r="D583" s="27"/>
      <c r="E583" s="27"/>
      <c r="F583" s="27"/>
      <c r="G583" s="27"/>
      <c r="H583" s="27"/>
    </row>
    <row r="584" spans="1:8">
      <c r="A584" s="27"/>
      <c r="B584" s="27"/>
      <c r="C584" s="27"/>
      <c r="D584" s="27"/>
      <c r="E584" s="27"/>
      <c r="F584" s="27"/>
      <c r="G584" s="27"/>
      <c r="H584" s="27"/>
    </row>
    <row r="585" spans="1:8">
      <c r="A585" s="27"/>
      <c r="B585" s="27"/>
      <c r="C585" s="27"/>
      <c r="D585" s="27"/>
      <c r="E585" s="27"/>
      <c r="F585" s="27"/>
      <c r="G585" s="27"/>
      <c r="H585" s="27"/>
    </row>
    <row r="586" spans="1:8">
      <c r="A586" s="27"/>
      <c r="B586" s="27"/>
      <c r="C586" s="27"/>
      <c r="D586" s="27"/>
      <c r="E586" s="27"/>
      <c r="F586" s="27"/>
      <c r="G586" s="27"/>
      <c r="H586" s="27"/>
    </row>
    <row r="587" spans="1:8">
      <c r="A587" s="27"/>
      <c r="B587" s="27"/>
      <c r="C587" s="27"/>
      <c r="D587" s="27"/>
      <c r="E587" s="27"/>
      <c r="F587" s="27"/>
      <c r="G587" s="27"/>
      <c r="H587" s="27"/>
    </row>
    <row r="588" spans="1:8">
      <c r="A588" s="27"/>
      <c r="B588" s="27"/>
      <c r="C588" s="27"/>
      <c r="D588" s="27"/>
      <c r="E588" s="27"/>
      <c r="F588" s="27"/>
      <c r="G588" s="27"/>
      <c r="H588" s="27"/>
    </row>
    <row r="589" spans="1:8">
      <c r="A589" s="27"/>
      <c r="B589" s="27"/>
      <c r="C589" s="27"/>
      <c r="D589" s="27"/>
      <c r="E589" s="27"/>
      <c r="F589" s="27"/>
      <c r="G589" s="27"/>
      <c r="H589" s="27"/>
    </row>
    <row r="590" spans="1:8">
      <c r="A590" s="27"/>
      <c r="B590" s="27"/>
      <c r="C590" s="27"/>
      <c r="D590" s="27"/>
      <c r="E590" s="27"/>
      <c r="F590" s="27"/>
      <c r="G590" s="27"/>
      <c r="H590" s="27"/>
    </row>
    <row r="591" spans="1:8">
      <c r="A591" s="27"/>
      <c r="B591" s="27"/>
      <c r="C591" s="27"/>
      <c r="D591" s="27"/>
      <c r="E591" s="27"/>
      <c r="F591" s="27"/>
      <c r="G591" s="27"/>
      <c r="H591" s="27"/>
    </row>
    <row r="592" spans="1:8">
      <c r="A592" s="27"/>
      <c r="B592" s="27"/>
      <c r="C592" s="27"/>
      <c r="D592" s="27"/>
      <c r="E592" s="27"/>
      <c r="F592" s="27"/>
      <c r="G592" s="27"/>
      <c r="H592" s="27"/>
    </row>
    <row r="593" spans="1:8">
      <c r="A593" s="27"/>
      <c r="B593" s="27"/>
      <c r="C593" s="27"/>
      <c r="D593" s="27"/>
      <c r="E593" s="27"/>
      <c r="F593" s="27"/>
      <c r="G593" s="27"/>
      <c r="H593" s="27"/>
    </row>
    <row r="594" spans="1:8">
      <c r="A594" s="27"/>
      <c r="B594" s="27"/>
      <c r="C594" s="27"/>
      <c r="D594" s="27"/>
      <c r="E594" s="27"/>
      <c r="F594" s="27"/>
      <c r="G594" s="27"/>
      <c r="H594" s="27"/>
    </row>
    <row r="595" spans="1:8">
      <c r="A595" s="27"/>
      <c r="B595" s="27"/>
      <c r="C595" s="27"/>
      <c r="D595" s="27"/>
      <c r="E595" s="27"/>
      <c r="F595" s="27"/>
      <c r="G595" s="27"/>
      <c r="H595" s="27"/>
    </row>
    <row r="596" spans="1:8">
      <c r="A596" s="27"/>
      <c r="B596" s="27"/>
      <c r="C596" s="27"/>
      <c r="D596" s="27"/>
      <c r="E596" s="27"/>
      <c r="F596" s="27"/>
      <c r="G596" s="27"/>
      <c r="H596" s="27"/>
    </row>
    <row r="597" spans="1:8">
      <c r="A597" s="27"/>
      <c r="B597" s="27"/>
      <c r="C597" s="27"/>
      <c r="D597" s="27"/>
      <c r="E597" s="27"/>
      <c r="F597" s="27"/>
      <c r="G597" s="27"/>
      <c r="H597" s="27"/>
    </row>
    <row r="598" spans="1:8">
      <c r="A598" s="27"/>
      <c r="B598" s="27"/>
      <c r="C598" s="27"/>
      <c r="D598" s="27"/>
      <c r="E598" s="27"/>
      <c r="F598" s="27"/>
      <c r="G598" s="27"/>
      <c r="H598" s="27"/>
    </row>
    <row r="599" spans="1:8">
      <c r="A599" s="27"/>
      <c r="B599" s="27"/>
      <c r="C599" s="27"/>
      <c r="D599" s="27"/>
      <c r="E599" s="27"/>
      <c r="F599" s="27"/>
      <c r="G599" s="27"/>
      <c r="H599" s="27"/>
    </row>
    <row r="600" spans="1:8">
      <c r="A600" s="27"/>
      <c r="B600" s="27"/>
      <c r="C600" s="27"/>
      <c r="D600" s="27"/>
      <c r="E600" s="27"/>
      <c r="F600" s="27"/>
      <c r="G600" s="27"/>
      <c r="H600" s="27"/>
    </row>
    <row r="601" spans="1:8">
      <c r="A601" s="27"/>
      <c r="B601" s="27"/>
      <c r="C601" s="27"/>
      <c r="D601" s="27"/>
      <c r="E601" s="27"/>
      <c r="F601" s="27"/>
      <c r="G601" s="27"/>
      <c r="H601" s="27"/>
    </row>
    <row r="602" spans="1:8">
      <c r="A602" s="27"/>
      <c r="B602" s="27"/>
      <c r="C602" s="27"/>
      <c r="D602" s="27"/>
      <c r="E602" s="27"/>
      <c r="F602" s="27"/>
      <c r="G602" s="27"/>
      <c r="H602" s="27"/>
    </row>
    <row r="603" spans="1:8">
      <c r="A603" s="27"/>
      <c r="B603" s="27"/>
      <c r="C603" s="27"/>
      <c r="D603" s="27"/>
      <c r="E603" s="27"/>
      <c r="F603" s="27"/>
      <c r="G603" s="27"/>
      <c r="H603" s="27"/>
    </row>
    <row r="604" spans="1:8">
      <c r="A604" s="27"/>
      <c r="B604" s="27"/>
      <c r="C604" s="27"/>
      <c r="D604" s="27"/>
      <c r="E604" s="27"/>
      <c r="F604" s="27"/>
      <c r="G604" s="27"/>
      <c r="H604" s="27"/>
    </row>
    <row r="605" spans="1:8">
      <c r="A605" s="27"/>
      <c r="B605" s="27"/>
      <c r="C605" s="27"/>
      <c r="D605" s="27"/>
      <c r="E605" s="27"/>
      <c r="F605" s="27"/>
      <c r="G605" s="27"/>
      <c r="H605" s="27"/>
    </row>
    <row r="606" spans="1:8">
      <c r="A606" s="27"/>
      <c r="B606" s="27"/>
      <c r="C606" s="27"/>
      <c r="D606" s="27"/>
      <c r="E606" s="27"/>
      <c r="F606" s="27"/>
      <c r="G606" s="27"/>
      <c r="H606" s="27"/>
    </row>
    <row r="607" spans="1:8">
      <c r="A607" s="27"/>
      <c r="B607" s="27"/>
      <c r="C607" s="27"/>
      <c r="D607" s="27"/>
      <c r="E607" s="27"/>
      <c r="F607" s="27"/>
      <c r="G607" s="27"/>
      <c r="H607" s="27"/>
    </row>
    <row r="608" spans="1:8">
      <c r="A608" s="27"/>
      <c r="B608" s="27"/>
      <c r="C608" s="27"/>
      <c r="D608" s="27"/>
      <c r="E608" s="27"/>
      <c r="F608" s="27"/>
      <c r="G608" s="27"/>
      <c r="H608" s="27"/>
    </row>
    <row r="609" spans="1:8">
      <c r="A609" s="27"/>
      <c r="B609" s="27"/>
      <c r="C609" s="27"/>
      <c r="D609" s="27"/>
      <c r="E609" s="27"/>
      <c r="F609" s="27"/>
      <c r="G609" s="27"/>
      <c r="H609" s="27"/>
    </row>
    <row r="610" spans="1:8">
      <c r="A610" s="27"/>
      <c r="B610" s="27"/>
      <c r="C610" s="27"/>
      <c r="D610" s="27"/>
      <c r="E610" s="27"/>
      <c r="F610" s="27"/>
      <c r="G610" s="27"/>
      <c r="H610" s="27"/>
    </row>
    <row r="611" spans="1:8">
      <c r="A611" s="27"/>
      <c r="B611" s="27"/>
      <c r="C611" s="27"/>
      <c r="D611" s="27"/>
      <c r="E611" s="27"/>
      <c r="F611" s="27"/>
      <c r="G611" s="27"/>
      <c r="H611" s="27"/>
    </row>
    <row r="612" spans="1:8">
      <c r="A612" s="27"/>
      <c r="B612" s="27"/>
      <c r="C612" s="27"/>
      <c r="D612" s="27"/>
      <c r="E612" s="27"/>
      <c r="F612" s="27"/>
      <c r="G612" s="27"/>
      <c r="H612" s="27"/>
    </row>
    <row r="613" spans="1:8">
      <c r="A613" s="27"/>
      <c r="B613" s="27"/>
      <c r="C613" s="27"/>
      <c r="D613" s="27"/>
      <c r="E613" s="27"/>
      <c r="F613" s="27"/>
      <c r="G613" s="27"/>
      <c r="H613" s="27"/>
    </row>
    <row r="614" spans="1:8">
      <c r="A614" s="27"/>
      <c r="B614" s="27"/>
      <c r="C614" s="27"/>
      <c r="D614" s="27"/>
      <c r="E614" s="27"/>
      <c r="F614" s="27"/>
      <c r="G614" s="27"/>
      <c r="H614" s="27"/>
    </row>
    <row r="615" spans="1:8">
      <c r="A615" s="27"/>
      <c r="B615" s="27"/>
      <c r="C615" s="27"/>
      <c r="D615" s="27"/>
      <c r="E615" s="27"/>
      <c r="F615" s="27"/>
      <c r="G615" s="27"/>
      <c r="H615" s="27"/>
    </row>
    <row r="616" spans="1:8">
      <c r="A616" s="27"/>
      <c r="B616" s="27"/>
      <c r="C616" s="27"/>
      <c r="D616" s="27"/>
      <c r="E616" s="27"/>
      <c r="F616" s="27"/>
      <c r="G616" s="27"/>
      <c r="H616" s="27"/>
    </row>
    <row r="617" spans="1:8">
      <c r="A617" s="27"/>
      <c r="B617" s="27"/>
      <c r="C617" s="27"/>
      <c r="D617" s="27"/>
      <c r="E617" s="27"/>
      <c r="F617" s="27"/>
      <c r="G617" s="27"/>
      <c r="H617" s="27"/>
    </row>
    <row r="618" spans="1:8">
      <c r="A618" s="27"/>
      <c r="B618" s="27"/>
      <c r="C618" s="27"/>
      <c r="D618" s="27"/>
      <c r="E618" s="27"/>
      <c r="F618" s="27"/>
      <c r="G618" s="27"/>
      <c r="H618" s="27"/>
    </row>
    <row r="619" spans="1:8">
      <c r="A619" s="27"/>
      <c r="B619" s="27"/>
      <c r="C619" s="27"/>
      <c r="D619" s="27"/>
      <c r="E619" s="27"/>
      <c r="F619" s="27"/>
      <c r="G619" s="27"/>
      <c r="H619" s="27"/>
    </row>
    <row r="620" spans="1:8">
      <c r="A620" s="27"/>
      <c r="B620" s="27"/>
      <c r="C620" s="27"/>
      <c r="D620" s="27"/>
      <c r="E620" s="27"/>
      <c r="F620" s="27"/>
      <c r="G620" s="27"/>
      <c r="H620" s="27"/>
    </row>
    <row r="621" spans="1:8">
      <c r="A621" s="27"/>
      <c r="B621" s="27"/>
      <c r="C621" s="27"/>
      <c r="D621" s="27"/>
      <c r="E621" s="27"/>
      <c r="F621" s="27"/>
      <c r="G621" s="27"/>
      <c r="H621" s="27"/>
    </row>
    <row r="622" spans="1:8">
      <c r="A622" s="27"/>
      <c r="B622" s="27"/>
      <c r="C622" s="27"/>
      <c r="D622" s="27"/>
      <c r="E622" s="27"/>
      <c r="F622" s="27"/>
      <c r="G622" s="27"/>
      <c r="H622" s="27"/>
    </row>
    <row r="623" spans="1:8">
      <c r="A623" s="27"/>
      <c r="B623" s="27"/>
      <c r="C623" s="27"/>
      <c r="D623" s="27"/>
      <c r="E623" s="27"/>
      <c r="F623" s="27"/>
      <c r="G623" s="27"/>
      <c r="H623" s="27"/>
    </row>
    <row r="624" spans="1:8">
      <c r="A624" s="27"/>
      <c r="B624" s="27"/>
      <c r="C624" s="27"/>
      <c r="D624" s="27"/>
      <c r="E624" s="27"/>
      <c r="F624" s="27"/>
      <c r="G624" s="27"/>
      <c r="H624" s="27"/>
    </row>
    <row r="625" spans="1:8">
      <c r="A625" s="27"/>
      <c r="B625" s="27"/>
      <c r="C625" s="27"/>
      <c r="D625" s="27"/>
      <c r="E625" s="27"/>
      <c r="F625" s="27"/>
      <c r="G625" s="27"/>
      <c r="H625" s="27"/>
    </row>
    <row r="626" spans="1:8">
      <c r="A626" s="27"/>
      <c r="B626" s="27"/>
      <c r="C626" s="27"/>
      <c r="D626" s="27"/>
      <c r="E626" s="27"/>
      <c r="F626" s="27"/>
      <c r="G626" s="27"/>
      <c r="H626" s="27"/>
    </row>
    <row r="627" spans="1:8">
      <c r="A627" s="27"/>
      <c r="B627" s="27"/>
      <c r="C627" s="27"/>
      <c r="D627" s="27"/>
      <c r="E627" s="27"/>
      <c r="F627" s="27"/>
      <c r="G627" s="27"/>
      <c r="H627" s="27"/>
    </row>
    <row r="628" spans="1:8">
      <c r="A628" s="27"/>
      <c r="B628" s="27"/>
      <c r="C628" s="27"/>
      <c r="D628" s="27"/>
      <c r="E628" s="27"/>
      <c r="F628" s="27"/>
      <c r="G628" s="27"/>
      <c r="H628" s="27"/>
    </row>
    <row r="629" spans="1:8">
      <c r="A629" s="27"/>
      <c r="B629" s="27"/>
      <c r="C629" s="27"/>
      <c r="D629" s="27"/>
      <c r="E629" s="27"/>
      <c r="F629" s="27"/>
      <c r="G629" s="27"/>
      <c r="H629" s="27"/>
    </row>
    <row r="630" spans="1:8">
      <c r="A630" s="27"/>
      <c r="B630" s="27"/>
      <c r="C630" s="27"/>
      <c r="D630" s="27"/>
      <c r="E630" s="27"/>
      <c r="F630" s="27"/>
      <c r="G630" s="27"/>
      <c r="H630" s="27"/>
    </row>
    <row r="631" spans="1:8">
      <c r="A631" s="27"/>
      <c r="B631" s="27"/>
      <c r="C631" s="27"/>
      <c r="D631" s="27"/>
      <c r="E631" s="27"/>
      <c r="F631" s="27"/>
      <c r="G631" s="27"/>
      <c r="H631" s="27"/>
    </row>
    <row r="632" spans="1:8">
      <c r="A632" s="27"/>
      <c r="B632" s="27"/>
      <c r="C632" s="27"/>
      <c r="D632" s="27"/>
      <c r="E632" s="27"/>
      <c r="F632" s="27"/>
      <c r="G632" s="27"/>
      <c r="H632" s="27"/>
    </row>
    <row r="633" spans="1:8">
      <c r="A633" s="27"/>
      <c r="B633" s="27"/>
      <c r="C633" s="27"/>
      <c r="D633" s="27"/>
      <c r="E633" s="27"/>
      <c r="F633" s="27"/>
      <c r="G633" s="27"/>
      <c r="H633" s="27"/>
    </row>
    <row r="634" spans="1:8">
      <c r="A634" s="27"/>
      <c r="B634" s="27"/>
      <c r="C634" s="27"/>
      <c r="D634" s="27"/>
      <c r="E634" s="27"/>
      <c r="F634" s="27"/>
      <c r="G634" s="27"/>
      <c r="H634" s="27"/>
    </row>
    <row r="635" spans="1:8">
      <c r="A635" s="27"/>
      <c r="B635" s="27"/>
      <c r="C635" s="27"/>
      <c r="D635" s="27"/>
      <c r="E635" s="27"/>
      <c r="F635" s="27"/>
      <c r="G635" s="27"/>
      <c r="H635" s="27"/>
    </row>
    <row r="636" spans="1:8">
      <c r="A636" s="27"/>
      <c r="B636" s="27"/>
      <c r="C636" s="27"/>
      <c r="D636" s="27"/>
      <c r="E636" s="27"/>
      <c r="F636" s="27"/>
      <c r="G636" s="27"/>
      <c r="H636" s="27"/>
    </row>
    <row r="637" spans="1:8">
      <c r="A637" s="27"/>
      <c r="B637" s="27"/>
      <c r="C637" s="27"/>
      <c r="D637" s="27"/>
      <c r="E637" s="27"/>
      <c r="F637" s="27"/>
      <c r="G637" s="27"/>
      <c r="H637" s="27"/>
    </row>
    <row r="638" spans="1:8">
      <c r="A638" s="27"/>
      <c r="B638" s="27"/>
      <c r="C638" s="27"/>
      <c r="D638" s="27"/>
      <c r="E638" s="27"/>
      <c r="F638" s="27"/>
      <c r="G638" s="27"/>
      <c r="H638" s="27"/>
    </row>
    <row r="639" spans="1:8">
      <c r="A639" s="27"/>
      <c r="B639" s="27"/>
      <c r="C639" s="27"/>
      <c r="D639" s="27"/>
      <c r="E639" s="27"/>
      <c r="F639" s="27"/>
      <c r="G639" s="27"/>
      <c r="H639" s="27"/>
    </row>
    <row r="640" spans="1:8">
      <c r="A640" s="27"/>
      <c r="B640" s="27"/>
      <c r="C640" s="27"/>
      <c r="D640" s="27"/>
      <c r="E640" s="27"/>
      <c r="F640" s="27"/>
      <c r="G640" s="27"/>
      <c r="H640" s="27"/>
    </row>
    <row r="641" spans="1:8">
      <c r="A641" s="27"/>
      <c r="B641" s="27"/>
      <c r="C641" s="27"/>
      <c r="D641" s="27"/>
      <c r="E641" s="27"/>
      <c r="F641" s="27"/>
      <c r="G641" s="27"/>
      <c r="H641" s="27"/>
    </row>
    <row r="642" spans="1:8">
      <c r="A642" s="27"/>
      <c r="B642" s="27"/>
      <c r="C642" s="27"/>
      <c r="D642" s="27"/>
      <c r="E642" s="27"/>
      <c r="F642" s="27"/>
      <c r="G642" s="27"/>
      <c r="H642" s="27"/>
    </row>
    <row r="643" spans="1:8">
      <c r="A643" s="27"/>
      <c r="B643" s="27"/>
      <c r="C643" s="27"/>
      <c r="D643" s="27"/>
      <c r="E643" s="27"/>
      <c r="F643" s="27"/>
      <c r="G643" s="27"/>
      <c r="H643" s="27"/>
    </row>
    <row r="644" spans="1:8">
      <c r="A644" s="27"/>
      <c r="B644" s="27"/>
      <c r="C644" s="27"/>
      <c r="D644" s="27"/>
      <c r="E644" s="27"/>
      <c r="F644" s="27"/>
      <c r="G644" s="27"/>
      <c r="H644" s="27"/>
    </row>
    <row r="645" spans="1:8">
      <c r="A645" s="27"/>
      <c r="B645" s="27"/>
      <c r="C645" s="27"/>
      <c r="D645" s="27"/>
      <c r="E645" s="27"/>
      <c r="F645" s="27"/>
      <c r="G645" s="27"/>
      <c r="H645" s="27"/>
    </row>
    <row r="646" spans="1:8">
      <c r="A646" s="27"/>
      <c r="B646" s="27"/>
      <c r="C646" s="27"/>
      <c r="D646" s="27"/>
      <c r="E646" s="27"/>
      <c r="F646" s="27"/>
      <c r="G646" s="27"/>
      <c r="H646" s="27"/>
    </row>
    <row r="647" spans="1:8">
      <c r="A647" s="27"/>
      <c r="B647" s="27"/>
      <c r="C647" s="27"/>
      <c r="D647" s="27"/>
      <c r="E647" s="27"/>
      <c r="F647" s="27"/>
      <c r="G647" s="27"/>
      <c r="H647" s="27"/>
    </row>
    <row r="648" spans="1:8">
      <c r="A648" s="27"/>
      <c r="B648" s="27"/>
      <c r="C648" s="27"/>
      <c r="D648" s="27"/>
      <c r="E648" s="27"/>
      <c r="F648" s="27"/>
      <c r="G648" s="27"/>
      <c r="H648" s="27"/>
    </row>
    <row r="649" spans="1:8">
      <c r="A649" s="27"/>
      <c r="B649" s="27"/>
      <c r="C649" s="27"/>
      <c r="D649" s="27"/>
      <c r="E649" s="27"/>
      <c r="F649" s="27"/>
      <c r="G649" s="27"/>
      <c r="H649" s="27"/>
    </row>
    <row r="650" spans="1:8">
      <c r="A650" s="27"/>
      <c r="B650" s="27"/>
      <c r="C650" s="27"/>
      <c r="D650" s="27"/>
      <c r="E650" s="27"/>
      <c r="F650" s="27"/>
      <c r="G650" s="27"/>
      <c r="H650" s="27"/>
    </row>
    <row r="651" spans="1:8">
      <c r="A651" s="27"/>
      <c r="B651" s="27"/>
      <c r="C651" s="27"/>
      <c r="D651" s="27"/>
      <c r="E651" s="27"/>
      <c r="F651" s="27"/>
      <c r="G651" s="27"/>
      <c r="H651" s="27"/>
    </row>
    <row r="652" spans="1:8">
      <c r="A652" s="27"/>
      <c r="B652" s="27"/>
      <c r="C652" s="27"/>
      <c r="D652" s="27"/>
      <c r="E652" s="27"/>
      <c r="F652" s="27"/>
      <c r="G652" s="27"/>
      <c r="H652" s="27"/>
    </row>
    <row r="653" spans="1:8">
      <c r="A653" s="27"/>
      <c r="B653" s="27"/>
      <c r="C653" s="27"/>
      <c r="D653" s="27"/>
      <c r="E653" s="27"/>
      <c r="F653" s="27"/>
      <c r="G653" s="27"/>
      <c r="H653" s="27"/>
    </row>
    <row r="654" spans="1:8">
      <c r="A654" s="27"/>
      <c r="B654" s="27"/>
      <c r="C654" s="27"/>
      <c r="D654" s="27"/>
      <c r="E654" s="27"/>
      <c r="F654" s="27"/>
      <c r="G654" s="27"/>
      <c r="H654" s="27"/>
    </row>
    <row r="655" spans="1:8">
      <c r="A655" s="27"/>
      <c r="B655" s="27"/>
      <c r="C655" s="27"/>
      <c r="D655" s="27"/>
      <c r="E655" s="27"/>
      <c r="F655" s="27"/>
      <c r="G655" s="27"/>
      <c r="H655" s="27"/>
    </row>
    <row r="656" spans="1:8">
      <c r="A656" s="27"/>
      <c r="B656" s="27"/>
      <c r="C656" s="27"/>
      <c r="D656" s="27"/>
      <c r="E656" s="27"/>
      <c r="F656" s="27"/>
      <c r="G656" s="27"/>
      <c r="H656" s="27"/>
    </row>
    <row r="657" spans="1:8">
      <c r="A657" s="27"/>
      <c r="B657" s="27"/>
      <c r="C657" s="27"/>
      <c r="D657" s="27"/>
      <c r="E657" s="27"/>
      <c r="F657" s="27"/>
      <c r="G657" s="27"/>
      <c r="H657" s="27"/>
    </row>
    <row r="658" spans="1:8">
      <c r="A658" s="27"/>
      <c r="B658" s="27"/>
      <c r="C658" s="27"/>
      <c r="D658" s="27"/>
      <c r="E658" s="27"/>
      <c r="F658" s="27"/>
      <c r="G658" s="27"/>
      <c r="H658" s="27"/>
    </row>
    <row r="659" spans="1:8">
      <c r="A659" s="27"/>
      <c r="B659" s="27"/>
      <c r="C659" s="27"/>
      <c r="D659" s="27"/>
      <c r="E659" s="27"/>
      <c r="F659" s="27"/>
      <c r="G659" s="27"/>
      <c r="H659" s="27"/>
    </row>
    <row r="660" spans="1:8">
      <c r="A660" s="27"/>
      <c r="B660" s="27"/>
      <c r="C660" s="27"/>
      <c r="D660" s="27"/>
      <c r="E660" s="27"/>
      <c r="F660" s="27"/>
      <c r="G660" s="27"/>
      <c r="H660" s="27"/>
    </row>
    <row r="661" spans="1:8">
      <c r="A661" s="27"/>
      <c r="B661" s="27"/>
      <c r="C661" s="27"/>
      <c r="D661" s="27"/>
      <c r="E661" s="27"/>
      <c r="F661" s="27"/>
      <c r="G661" s="27"/>
      <c r="H661" s="27"/>
    </row>
    <row r="662" spans="1:8">
      <c r="A662" s="27"/>
      <c r="B662" s="27"/>
      <c r="C662" s="27"/>
      <c r="D662" s="27"/>
      <c r="E662" s="27"/>
      <c r="F662" s="27"/>
      <c r="G662" s="27"/>
      <c r="H662" s="27"/>
    </row>
    <row r="663" spans="1:8">
      <c r="A663" s="27"/>
      <c r="B663" s="27"/>
      <c r="C663" s="27"/>
      <c r="D663" s="27"/>
      <c r="E663" s="27"/>
      <c r="F663" s="27"/>
      <c r="G663" s="27"/>
      <c r="H663" s="27"/>
    </row>
    <row r="664" spans="1:8">
      <c r="A664" s="27"/>
      <c r="B664" s="27"/>
      <c r="C664" s="27"/>
      <c r="D664" s="27"/>
      <c r="E664" s="27"/>
      <c r="F664" s="27"/>
      <c r="G664" s="27"/>
      <c r="H664" s="27"/>
    </row>
    <row r="665" spans="1:8">
      <c r="A665" s="27"/>
      <c r="B665" s="27"/>
      <c r="C665" s="27"/>
      <c r="D665" s="27"/>
      <c r="E665" s="27"/>
      <c r="F665" s="27"/>
      <c r="G665" s="27"/>
      <c r="H665" s="27"/>
    </row>
    <row r="666" spans="1:8">
      <c r="A666" s="27"/>
      <c r="B666" s="27"/>
      <c r="C666" s="27"/>
      <c r="D666" s="27"/>
      <c r="E666" s="27"/>
      <c r="F666" s="27"/>
      <c r="G666" s="27"/>
      <c r="H666" s="27"/>
    </row>
    <row r="667" spans="1:8">
      <c r="A667" s="27"/>
      <c r="B667" s="27"/>
      <c r="C667" s="27"/>
      <c r="D667" s="27"/>
      <c r="E667" s="27"/>
      <c r="F667" s="27"/>
      <c r="G667" s="27"/>
      <c r="H667" s="27"/>
    </row>
    <row r="668" spans="1:8">
      <c r="A668" s="27"/>
      <c r="B668" s="27"/>
      <c r="C668" s="27"/>
      <c r="D668" s="27"/>
      <c r="E668" s="27"/>
      <c r="F668" s="27"/>
      <c r="G668" s="27"/>
      <c r="H668" s="27"/>
    </row>
    <row r="669" spans="1:8">
      <c r="A669" s="27"/>
      <c r="B669" s="27"/>
      <c r="C669" s="27"/>
      <c r="D669" s="27"/>
      <c r="E669" s="27"/>
      <c r="F669" s="27"/>
      <c r="G669" s="27"/>
      <c r="H669" s="27"/>
    </row>
    <row r="670" spans="1:8">
      <c r="A670" s="27"/>
      <c r="B670" s="27"/>
      <c r="C670" s="27"/>
      <c r="D670" s="27"/>
      <c r="E670" s="27"/>
      <c r="F670" s="27"/>
      <c r="G670" s="27"/>
      <c r="H670" s="27"/>
    </row>
    <row r="671" spans="1:8">
      <c r="A671" s="27"/>
      <c r="B671" s="27"/>
      <c r="C671" s="27"/>
      <c r="D671" s="27"/>
      <c r="E671" s="27"/>
      <c r="F671" s="27"/>
      <c r="G671" s="27"/>
      <c r="H671" s="27"/>
    </row>
    <row r="672" spans="1:8">
      <c r="A672" s="27"/>
      <c r="B672" s="27"/>
      <c r="C672" s="27"/>
      <c r="D672" s="27"/>
      <c r="E672" s="27"/>
      <c r="F672" s="27"/>
      <c r="G672" s="27"/>
      <c r="H672" s="27"/>
    </row>
    <row r="673" spans="1:8">
      <c r="A673" s="27"/>
      <c r="B673" s="27"/>
      <c r="C673" s="27"/>
      <c r="D673" s="27"/>
      <c r="E673" s="27"/>
      <c r="F673" s="27"/>
      <c r="G673" s="27"/>
      <c r="H673" s="27"/>
    </row>
    <row r="674" spans="1:8">
      <c r="A674" s="27"/>
      <c r="B674" s="27"/>
      <c r="C674" s="27"/>
      <c r="D674" s="27"/>
      <c r="E674" s="27"/>
      <c r="F674" s="27"/>
      <c r="G674" s="27"/>
      <c r="H674" s="27"/>
    </row>
    <row r="675" spans="1:8">
      <c r="A675" s="27"/>
      <c r="B675" s="27"/>
      <c r="C675" s="27"/>
      <c r="D675" s="27"/>
      <c r="E675" s="27"/>
      <c r="F675" s="27"/>
      <c r="G675" s="27"/>
      <c r="H675" s="27"/>
    </row>
    <row r="676" spans="1:8">
      <c r="A676" s="27"/>
      <c r="B676" s="27"/>
      <c r="C676" s="27"/>
      <c r="D676" s="27"/>
      <c r="E676" s="27"/>
      <c r="F676" s="27"/>
      <c r="G676" s="27"/>
      <c r="H676" s="27"/>
    </row>
    <row r="677" spans="1:8">
      <c r="A677" s="27"/>
      <c r="B677" s="27"/>
      <c r="C677" s="27"/>
      <c r="D677" s="27"/>
      <c r="E677" s="27"/>
      <c r="F677" s="27"/>
      <c r="G677" s="27"/>
      <c r="H677" s="27"/>
    </row>
    <row r="678" spans="1:8">
      <c r="A678" s="27"/>
      <c r="B678" s="27"/>
      <c r="C678" s="27"/>
      <c r="D678" s="27"/>
      <c r="E678" s="27"/>
      <c r="F678" s="27"/>
      <c r="G678" s="27"/>
      <c r="H678" s="27"/>
    </row>
    <row r="679" spans="1:8">
      <c r="A679" s="27"/>
      <c r="B679" s="27"/>
      <c r="C679" s="27"/>
      <c r="D679" s="27"/>
      <c r="E679" s="27"/>
      <c r="F679" s="27"/>
      <c r="G679" s="27"/>
      <c r="H679" s="27"/>
    </row>
    <row r="680" spans="1:8">
      <c r="A680" s="27"/>
      <c r="B680" s="27"/>
      <c r="C680" s="27"/>
      <c r="D680" s="27"/>
      <c r="E680" s="27"/>
      <c r="F680" s="27"/>
      <c r="G680" s="27"/>
      <c r="H680" s="27"/>
    </row>
    <row r="681" spans="1:8">
      <c r="A681" s="27"/>
      <c r="B681" s="27"/>
      <c r="C681" s="27"/>
      <c r="D681" s="27"/>
      <c r="E681" s="27"/>
      <c r="F681" s="27"/>
      <c r="G681" s="27"/>
      <c r="H681" s="27"/>
    </row>
    <row r="682" spans="1:8">
      <c r="A682" s="27"/>
      <c r="B682" s="27"/>
      <c r="C682" s="27"/>
      <c r="D682" s="27"/>
      <c r="E682" s="27"/>
      <c r="F682" s="27"/>
      <c r="G682" s="27"/>
      <c r="H682" s="27"/>
    </row>
    <row r="683" spans="1:8">
      <c r="A683" s="27"/>
      <c r="B683" s="27"/>
      <c r="C683" s="27"/>
      <c r="D683" s="27"/>
      <c r="E683" s="27"/>
      <c r="F683" s="27"/>
      <c r="G683" s="27"/>
      <c r="H683" s="27"/>
    </row>
    <row r="684" spans="1:8">
      <c r="A684" s="27"/>
      <c r="B684" s="27"/>
      <c r="C684" s="27"/>
      <c r="D684" s="27"/>
      <c r="E684" s="27"/>
      <c r="F684" s="27"/>
      <c r="G684" s="27"/>
      <c r="H684" s="27"/>
    </row>
    <row r="685" spans="1:8">
      <c r="A685" s="27"/>
      <c r="B685" s="27"/>
      <c r="C685" s="27"/>
      <c r="D685" s="27"/>
      <c r="E685" s="27"/>
      <c r="F685" s="27"/>
      <c r="G685" s="27"/>
      <c r="H685" s="27"/>
    </row>
    <row r="686" spans="1:8">
      <c r="A686" s="27"/>
      <c r="B686" s="27"/>
      <c r="C686" s="27"/>
      <c r="D686" s="27"/>
      <c r="E686" s="27"/>
      <c r="F686" s="27"/>
      <c r="G686" s="27"/>
      <c r="H686" s="27"/>
    </row>
    <row r="687" spans="1:8">
      <c r="A687" s="27"/>
      <c r="B687" s="27"/>
      <c r="C687" s="27"/>
      <c r="D687" s="27"/>
      <c r="E687" s="27"/>
      <c r="F687" s="27"/>
      <c r="G687" s="27"/>
      <c r="H687" s="27"/>
    </row>
    <row r="688" spans="1:8">
      <c r="A688" s="27"/>
      <c r="B688" s="27"/>
      <c r="C688" s="27"/>
      <c r="D688" s="27"/>
      <c r="E688" s="27"/>
      <c r="F688" s="27"/>
      <c r="G688" s="27"/>
      <c r="H688" s="27"/>
    </row>
    <row r="689" spans="1:8">
      <c r="A689" s="27"/>
      <c r="B689" s="27"/>
      <c r="C689" s="27"/>
      <c r="D689" s="27"/>
      <c r="E689" s="27"/>
      <c r="F689" s="27"/>
      <c r="G689" s="27"/>
      <c r="H689" s="27"/>
    </row>
    <row r="690" spans="1:8">
      <c r="A690" s="27"/>
      <c r="B690" s="27"/>
      <c r="C690" s="27"/>
      <c r="D690" s="27"/>
      <c r="E690" s="27"/>
      <c r="F690" s="27"/>
      <c r="G690" s="27"/>
      <c r="H690" s="27"/>
    </row>
    <row r="691" spans="1:8">
      <c r="A691" s="27"/>
      <c r="B691" s="27"/>
      <c r="C691" s="27"/>
      <c r="D691" s="27"/>
      <c r="E691" s="27"/>
      <c r="F691" s="27"/>
      <c r="G691" s="27"/>
      <c r="H691" s="27"/>
    </row>
    <row r="692" spans="1:8">
      <c r="A692" s="27"/>
      <c r="B692" s="27"/>
      <c r="C692" s="27"/>
      <c r="D692" s="27"/>
      <c r="E692" s="27"/>
      <c r="F692" s="27"/>
      <c r="G692" s="27"/>
      <c r="H692" s="27"/>
    </row>
    <row r="693" spans="1:8">
      <c r="A693" s="27"/>
      <c r="B693" s="27"/>
      <c r="C693" s="27"/>
      <c r="D693" s="27"/>
      <c r="E693" s="27"/>
      <c r="F693" s="27"/>
      <c r="G693" s="27"/>
      <c r="H693" s="27"/>
    </row>
    <row r="694" spans="1:8">
      <c r="A694" s="27"/>
      <c r="B694" s="27"/>
      <c r="C694" s="27"/>
      <c r="D694" s="27"/>
      <c r="E694" s="27"/>
      <c r="F694" s="27"/>
      <c r="G694" s="27"/>
      <c r="H694" s="27"/>
    </row>
    <row r="695" spans="1:8">
      <c r="A695" s="27"/>
      <c r="B695" s="27"/>
      <c r="C695" s="27"/>
      <c r="D695" s="27"/>
      <c r="E695" s="27"/>
      <c r="F695" s="27"/>
      <c r="G695" s="27"/>
      <c r="H695" s="27"/>
    </row>
    <row r="696" spans="1:8">
      <c r="A696" s="27"/>
      <c r="B696" s="27"/>
      <c r="C696" s="27"/>
      <c r="D696" s="27"/>
      <c r="E696" s="27"/>
      <c r="F696" s="27"/>
      <c r="G696" s="27"/>
      <c r="H696" s="27"/>
    </row>
    <row r="697" spans="1:8">
      <c r="A697" s="27"/>
      <c r="B697" s="27"/>
      <c r="C697" s="27"/>
      <c r="D697" s="27"/>
      <c r="E697" s="27"/>
      <c r="F697" s="27"/>
      <c r="G697" s="27"/>
      <c r="H697" s="27"/>
    </row>
    <row r="698" spans="1:8">
      <c r="A698" s="27"/>
      <c r="B698" s="27"/>
      <c r="C698" s="27"/>
      <c r="D698" s="27"/>
      <c r="E698" s="27"/>
      <c r="F698" s="27"/>
      <c r="G698" s="27"/>
      <c r="H698" s="27"/>
    </row>
    <row r="699" spans="1:8">
      <c r="A699" s="27"/>
      <c r="B699" s="27"/>
      <c r="C699" s="27"/>
      <c r="D699" s="27"/>
      <c r="E699" s="27"/>
      <c r="F699" s="27"/>
      <c r="G699" s="27"/>
      <c r="H699" s="27"/>
    </row>
    <row r="700" spans="1:8">
      <c r="A700" s="27"/>
      <c r="B700" s="27"/>
      <c r="C700" s="27"/>
      <c r="D700" s="27"/>
      <c r="E700" s="27"/>
      <c r="F700" s="27"/>
      <c r="G700" s="27"/>
      <c r="H700" s="27"/>
    </row>
    <row r="701" spans="1:8">
      <c r="A701" s="27"/>
      <c r="B701" s="27"/>
      <c r="C701" s="27"/>
      <c r="D701" s="27"/>
      <c r="E701" s="27"/>
      <c r="F701" s="27"/>
      <c r="G701" s="27"/>
      <c r="H701" s="27"/>
    </row>
    <row r="702" spans="1:8">
      <c r="A702" s="27"/>
      <c r="B702" s="27"/>
      <c r="C702" s="27"/>
      <c r="D702" s="27"/>
      <c r="E702" s="27"/>
      <c r="F702" s="27"/>
      <c r="G702" s="27"/>
      <c r="H702" s="27"/>
    </row>
    <row r="703" spans="1:8">
      <c r="A703" s="27"/>
      <c r="B703" s="27"/>
      <c r="C703" s="27"/>
      <c r="D703" s="27"/>
      <c r="E703" s="27"/>
      <c r="F703" s="27"/>
      <c r="G703" s="27"/>
      <c r="H703" s="27"/>
    </row>
    <row r="704" spans="1:8">
      <c r="A704" s="27"/>
      <c r="B704" s="27"/>
      <c r="C704" s="27"/>
      <c r="D704" s="27"/>
      <c r="E704" s="27"/>
      <c r="F704" s="27"/>
      <c r="G704" s="27"/>
      <c r="H704" s="27"/>
    </row>
    <row r="705" spans="1:8">
      <c r="A705" s="27"/>
      <c r="B705" s="27"/>
      <c r="C705" s="27"/>
      <c r="D705" s="27"/>
      <c r="E705" s="27"/>
      <c r="F705" s="27"/>
      <c r="G705" s="27"/>
      <c r="H705" s="27"/>
    </row>
    <row r="706" spans="1:8">
      <c r="A706" s="27"/>
      <c r="B706" s="27"/>
      <c r="C706" s="27"/>
      <c r="D706" s="27"/>
      <c r="E706" s="27"/>
      <c r="F706" s="27"/>
      <c r="G706" s="27"/>
      <c r="H706" s="27"/>
    </row>
    <row r="707" spans="1:8">
      <c r="A707" s="27"/>
      <c r="B707" s="27"/>
      <c r="C707" s="27"/>
      <c r="D707" s="27"/>
      <c r="E707" s="27"/>
      <c r="F707" s="27"/>
      <c r="G707" s="27"/>
      <c r="H707" s="27"/>
    </row>
    <row r="708" spans="1:8">
      <c r="A708" s="27"/>
      <c r="B708" s="27"/>
      <c r="C708" s="27"/>
      <c r="D708" s="27"/>
      <c r="E708" s="27"/>
      <c r="F708" s="27"/>
      <c r="G708" s="27"/>
      <c r="H708" s="27"/>
    </row>
    <row r="709" spans="1:8">
      <c r="A709" s="27"/>
      <c r="B709" s="27"/>
      <c r="C709" s="27"/>
      <c r="D709" s="27"/>
      <c r="E709" s="27"/>
      <c r="F709" s="27"/>
      <c r="G709" s="27"/>
      <c r="H709" s="27"/>
    </row>
    <row r="710" spans="1:8">
      <c r="A710" s="27"/>
      <c r="B710" s="27"/>
      <c r="C710" s="27"/>
      <c r="D710" s="27"/>
      <c r="E710" s="27"/>
      <c r="F710" s="27"/>
      <c r="G710" s="27"/>
      <c r="H710" s="27"/>
    </row>
    <row r="711" spans="1:8">
      <c r="A711" s="27"/>
      <c r="B711" s="27"/>
      <c r="C711" s="27"/>
      <c r="D711" s="27"/>
      <c r="E711" s="27"/>
      <c r="F711" s="27"/>
      <c r="G711" s="27"/>
      <c r="H711" s="27"/>
    </row>
    <row r="712" spans="1:8">
      <c r="A712" s="27"/>
      <c r="B712" s="27"/>
      <c r="C712" s="27"/>
      <c r="D712" s="27"/>
      <c r="E712" s="27"/>
      <c r="F712" s="27"/>
      <c r="G712" s="27"/>
      <c r="H712" s="27"/>
    </row>
    <row r="713" spans="1:8">
      <c r="A713" s="27"/>
      <c r="B713" s="27"/>
      <c r="C713" s="27"/>
      <c r="D713" s="27"/>
      <c r="E713" s="27"/>
      <c r="F713" s="27"/>
      <c r="G713" s="27"/>
      <c r="H713" s="27"/>
    </row>
    <row r="714" spans="1:8">
      <c r="A714" s="27"/>
      <c r="B714" s="27"/>
      <c r="C714" s="27"/>
      <c r="D714" s="27"/>
      <c r="E714" s="27"/>
      <c r="F714" s="27"/>
      <c r="G714" s="27"/>
      <c r="H714" s="27"/>
    </row>
    <row r="715" spans="1:8">
      <c r="A715" s="27"/>
      <c r="B715" s="27"/>
      <c r="C715" s="27"/>
      <c r="D715" s="27"/>
      <c r="E715" s="27"/>
      <c r="F715" s="27"/>
      <c r="G715" s="27"/>
      <c r="H715" s="27"/>
    </row>
    <row r="716" spans="1:8">
      <c r="A716" s="27"/>
      <c r="B716" s="27"/>
      <c r="C716" s="27"/>
      <c r="D716" s="27"/>
      <c r="E716" s="27"/>
      <c r="F716" s="27"/>
      <c r="G716" s="27"/>
      <c r="H716" s="27"/>
    </row>
    <row r="717" spans="1:8">
      <c r="A717" s="27"/>
      <c r="B717" s="27"/>
      <c r="C717" s="27"/>
      <c r="D717" s="27"/>
      <c r="E717" s="27"/>
      <c r="F717" s="27"/>
      <c r="G717" s="27"/>
      <c r="H717" s="27"/>
    </row>
    <row r="718" spans="1:8">
      <c r="A718" s="27"/>
      <c r="B718" s="27"/>
      <c r="C718" s="27"/>
      <c r="D718" s="27"/>
      <c r="E718" s="27"/>
      <c r="F718" s="27"/>
      <c r="G718" s="27"/>
      <c r="H718" s="27"/>
    </row>
    <row r="719" spans="1:8">
      <c r="A719" s="27"/>
      <c r="B719" s="27"/>
      <c r="C719" s="27"/>
      <c r="D719" s="27"/>
      <c r="E719" s="27"/>
      <c r="F719" s="27"/>
      <c r="G719" s="27"/>
      <c r="H719" s="27"/>
    </row>
    <row r="720" spans="1:8">
      <c r="A720" s="27"/>
      <c r="B720" s="27"/>
      <c r="C720" s="27"/>
      <c r="D720" s="27"/>
      <c r="E720" s="27"/>
      <c r="F720" s="27"/>
      <c r="G720" s="27"/>
      <c r="H720" s="27"/>
    </row>
    <row r="721" spans="1:8">
      <c r="A721" s="27"/>
      <c r="B721" s="27"/>
      <c r="C721" s="27"/>
      <c r="D721" s="27"/>
      <c r="E721" s="27"/>
      <c r="F721" s="27"/>
      <c r="G721" s="27"/>
      <c r="H721" s="27"/>
    </row>
    <row r="722" spans="1:8">
      <c r="A722" s="27"/>
      <c r="B722" s="27"/>
      <c r="C722" s="27"/>
      <c r="D722" s="27"/>
      <c r="E722" s="27"/>
      <c r="F722" s="27"/>
      <c r="G722" s="27"/>
      <c r="H722" s="27"/>
    </row>
    <row r="723" spans="1:8">
      <c r="A723" s="27"/>
      <c r="B723" s="27"/>
      <c r="C723" s="27"/>
      <c r="D723" s="27"/>
      <c r="E723" s="27"/>
      <c r="F723" s="27"/>
      <c r="G723" s="27"/>
      <c r="H723" s="27"/>
    </row>
    <row r="724" spans="1:8">
      <c r="A724" s="27"/>
      <c r="B724" s="27"/>
      <c r="C724" s="27"/>
      <c r="D724" s="27"/>
      <c r="E724" s="27"/>
      <c r="F724" s="27"/>
      <c r="G724" s="27"/>
      <c r="H724" s="27"/>
    </row>
    <row r="725" spans="1:8">
      <c r="A725" s="27"/>
      <c r="B725" s="27"/>
      <c r="C725" s="27"/>
      <c r="D725" s="27"/>
      <c r="E725" s="27"/>
      <c r="F725" s="27"/>
      <c r="G725" s="27"/>
      <c r="H725" s="27"/>
    </row>
    <row r="726" spans="1:8">
      <c r="A726" s="27"/>
      <c r="B726" s="27"/>
      <c r="C726" s="27"/>
      <c r="D726" s="27"/>
      <c r="E726" s="27"/>
      <c r="F726" s="27"/>
      <c r="G726" s="27"/>
      <c r="H726" s="27"/>
    </row>
    <row r="727" spans="1:8">
      <c r="A727" s="27"/>
      <c r="B727" s="27"/>
      <c r="C727" s="27"/>
      <c r="D727" s="27"/>
      <c r="E727" s="27"/>
      <c r="F727" s="27"/>
      <c r="G727" s="27"/>
      <c r="H727" s="27"/>
    </row>
    <row r="728" spans="1:8">
      <c r="A728" s="27"/>
      <c r="B728" s="27"/>
      <c r="C728" s="27"/>
      <c r="D728" s="27"/>
      <c r="E728" s="27"/>
      <c r="F728" s="27"/>
      <c r="G728" s="27"/>
      <c r="H728" s="27"/>
    </row>
    <row r="729" spans="1:8">
      <c r="A729" s="27"/>
      <c r="B729" s="27"/>
      <c r="C729" s="27"/>
      <c r="D729" s="27"/>
      <c r="E729" s="27"/>
      <c r="F729" s="27"/>
      <c r="G729" s="27"/>
      <c r="H729" s="27"/>
    </row>
    <row r="730" spans="1:8">
      <c r="A730" s="27"/>
      <c r="B730" s="27"/>
      <c r="C730" s="27"/>
      <c r="D730" s="27"/>
      <c r="E730" s="27"/>
      <c r="F730" s="27"/>
      <c r="G730" s="27"/>
      <c r="H730" s="27"/>
    </row>
    <row r="731" spans="1:8">
      <c r="A731" s="27"/>
      <c r="B731" s="27"/>
      <c r="C731" s="27"/>
      <c r="D731" s="27"/>
      <c r="E731" s="27"/>
      <c r="F731" s="27"/>
      <c r="G731" s="27"/>
      <c r="H731" s="27"/>
    </row>
    <row r="732" spans="1:8">
      <c r="A732" s="27"/>
      <c r="B732" s="27"/>
      <c r="C732" s="27"/>
      <c r="D732" s="27"/>
      <c r="E732" s="27"/>
      <c r="F732" s="27"/>
      <c r="G732" s="27"/>
      <c r="H732" s="27"/>
    </row>
    <row r="733" spans="1:8">
      <c r="A733" s="27"/>
      <c r="B733" s="27"/>
      <c r="C733" s="27"/>
      <c r="D733" s="27"/>
      <c r="E733" s="27"/>
      <c r="F733" s="27"/>
      <c r="G733" s="27"/>
      <c r="H733" s="27"/>
    </row>
    <row r="734" spans="1:8">
      <c r="A734" s="27"/>
      <c r="B734" s="27"/>
      <c r="C734" s="27"/>
      <c r="D734" s="27"/>
      <c r="E734" s="27"/>
      <c r="F734" s="27"/>
      <c r="G734" s="27"/>
      <c r="H734" s="27"/>
    </row>
    <row r="735" spans="1:8">
      <c r="A735" s="27"/>
      <c r="B735" s="27"/>
      <c r="C735" s="27"/>
      <c r="D735" s="27"/>
      <c r="E735" s="27"/>
      <c r="F735" s="27"/>
      <c r="G735" s="27"/>
      <c r="H735" s="27"/>
    </row>
    <row r="736" spans="1:8">
      <c r="A736" s="27"/>
      <c r="B736" s="27"/>
      <c r="C736" s="27"/>
      <c r="D736" s="27"/>
      <c r="E736" s="27"/>
      <c r="F736" s="27"/>
      <c r="G736" s="27"/>
      <c r="H736" s="27"/>
    </row>
    <row r="737" spans="1:8">
      <c r="A737" s="27"/>
      <c r="B737" s="27"/>
      <c r="C737" s="27"/>
      <c r="D737" s="27"/>
      <c r="E737" s="27"/>
      <c r="F737" s="27"/>
      <c r="G737" s="27"/>
      <c r="H737" s="27"/>
    </row>
    <row r="738" spans="1:8">
      <c r="A738" s="27"/>
      <c r="B738" s="27"/>
      <c r="C738" s="27"/>
      <c r="D738" s="27"/>
      <c r="E738" s="27"/>
      <c r="F738" s="27"/>
      <c r="G738" s="27"/>
      <c r="H738" s="27"/>
    </row>
    <row r="739" spans="1:8">
      <c r="A739" s="27"/>
      <c r="B739" s="27"/>
      <c r="C739" s="27"/>
      <c r="D739" s="27"/>
      <c r="E739" s="27"/>
      <c r="F739" s="27"/>
      <c r="G739" s="27"/>
      <c r="H739" s="27"/>
    </row>
    <row r="740" spans="1:8">
      <c r="A740" s="27"/>
      <c r="B740" s="27"/>
      <c r="C740" s="27"/>
      <c r="D740" s="27"/>
      <c r="E740" s="27"/>
      <c r="F740" s="27"/>
      <c r="G740" s="27"/>
      <c r="H740" s="27"/>
    </row>
    <row r="741" spans="1:8">
      <c r="A741" s="27"/>
      <c r="B741" s="27"/>
      <c r="C741" s="27"/>
      <c r="D741" s="27"/>
      <c r="E741" s="27"/>
      <c r="F741" s="27"/>
      <c r="G741" s="27"/>
      <c r="H741" s="27"/>
    </row>
    <row r="742" spans="1:8">
      <c r="A742" s="27"/>
      <c r="B742" s="27"/>
      <c r="C742" s="27"/>
      <c r="D742" s="27"/>
      <c r="E742" s="27"/>
      <c r="F742" s="27"/>
      <c r="G742" s="27"/>
      <c r="H742" s="27"/>
    </row>
    <row r="743" spans="1:8">
      <c r="A743" s="27"/>
      <c r="B743" s="27"/>
      <c r="C743" s="27"/>
      <c r="D743" s="27"/>
      <c r="E743" s="27"/>
      <c r="F743" s="27"/>
      <c r="G743" s="27"/>
      <c r="H743" s="27"/>
    </row>
    <row r="744" spans="1:8">
      <c r="A744" s="27"/>
      <c r="B744" s="27"/>
      <c r="C744" s="27"/>
      <c r="D744" s="27"/>
      <c r="E744" s="27"/>
      <c r="F744" s="27"/>
      <c r="G744" s="27"/>
      <c r="H744" s="27"/>
    </row>
    <row r="745" spans="1:8">
      <c r="A745" s="27"/>
      <c r="B745" s="27"/>
      <c r="C745" s="27"/>
      <c r="D745" s="27"/>
      <c r="E745" s="27"/>
      <c r="F745" s="27"/>
      <c r="G745" s="27"/>
      <c r="H745" s="27"/>
    </row>
    <row r="746" spans="1:8">
      <c r="A746" s="27"/>
      <c r="B746" s="27"/>
      <c r="C746" s="27"/>
      <c r="D746" s="27"/>
      <c r="E746" s="27"/>
      <c r="F746" s="27"/>
      <c r="G746" s="27"/>
      <c r="H746" s="27"/>
    </row>
    <row r="747" spans="1:8">
      <c r="A747" s="27"/>
      <c r="B747" s="27"/>
      <c r="C747" s="27"/>
      <c r="D747" s="27"/>
      <c r="E747" s="27"/>
      <c r="F747" s="27"/>
      <c r="G747" s="27"/>
      <c r="H747" s="27"/>
    </row>
    <row r="748" spans="1:8">
      <c r="A748" s="27"/>
      <c r="B748" s="27"/>
      <c r="C748" s="27"/>
      <c r="D748" s="27"/>
      <c r="E748" s="27"/>
      <c r="F748" s="27"/>
      <c r="G748" s="27"/>
      <c r="H748" s="27"/>
    </row>
    <row r="749" spans="1:8">
      <c r="A749" s="27"/>
      <c r="B749" s="27"/>
      <c r="C749" s="27"/>
      <c r="D749" s="27"/>
      <c r="E749" s="27"/>
      <c r="F749" s="27"/>
      <c r="G749" s="27"/>
      <c r="H749" s="27"/>
    </row>
    <row r="750" spans="1:8">
      <c r="A750" s="27"/>
      <c r="B750" s="27"/>
      <c r="C750" s="27"/>
      <c r="D750" s="27"/>
      <c r="E750" s="27"/>
      <c r="F750" s="27"/>
      <c r="G750" s="27"/>
      <c r="H750" s="27"/>
    </row>
    <row r="751" spans="1:8">
      <c r="A751" s="27"/>
      <c r="B751" s="27"/>
      <c r="C751" s="27"/>
      <c r="D751" s="27"/>
      <c r="E751" s="27"/>
      <c r="F751" s="27"/>
      <c r="G751" s="27"/>
      <c r="H751" s="27"/>
    </row>
    <row r="752" spans="1:8">
      <c r="A752" s="27"/>
      <c r="B752" s="27"/>
      <c r="C752" s="27"/>
      <c r="D752" s="27"/>
      <c r="E752" s="27"/>
      <c r="F752" s="27"/>
      <c r="G752" s="27"/>
      <c r="H752" s="27"/>
    </row>
    <row r="753" spans="1:8">
      <c r="A753" s="27"/>
      <c r="B753" s="27"/>
      <c r="C753" s="27"/>
      <c r="D753" s="27"/>
      <c r="E753" s="27"/>
      <c r="F753" s="27"/>
      <c r="G753" s="27"/>
      <c r="H753" s="27"/>
    </row>
    <row r="754" spans="1:8">
      <c r="A754" s="27"/>
      <c r="B754" s="27"/>
      <c r="C754" s="27"/>
      <c r="D754" s="27"/>
      <c r="E754" s="27"/>
      <c r="F754" s="27"/>
      <c r="G754" s="27"/>
      <c r="H754" s="27"/>
    </row>
    <row r="755" spans="1:8">
      <c r="A755" s="27"/>
      <c r="B755" s="27"/>
      <c r="C755" s="27"/>
      <c r="D755" s="27"/>
      <c r="E755" s="27"/>
      <c r="F755" s="27"/>
      <c r="G755" s="27"/>
      <c r="H755" s="27"/>
    </row>
    <row r="756" spans="1:8">
      <c r="A756" s="27"/>
      <c r="B756" s="27"/>
      <c r="C756" s="27"/>
      <c r="D756" s="27"/>
      <c r="E756" s="27"/>
      <c r="F756" s="27"/>
      <c r="G756" s="27"/>
      <c r="H756" s="27"/>
    </row>
    <row r="757" spans="1:8">
      <c r="A757" s="27"/>
      <c r="B757" s="27"/>
      <c r="C757" s="27"/>
      <c r="D757" s="27"/>
      <c r="E757" s="27"/>
      <c r="F757" s="27"/>
      <c r="G757" s="27"/>
      <c r="H757" s="27"/>
    </row>
    <row r="758" spans="1:8">
      <c r="A758" s="27"/>
      <c r="B758" s="27"/>
      <c r="C758" s="27"/>
      <c r="D758" s="27"/>
      <c r="E758" s="27"/>
      <c r="F758" s="27"/>
      <c r="G758" s="27"/>
      <c r="H758" s="27"/>
    </row>
    <row r="759" spans="1:8">
      <c r="A759" s="27"/>
      <c r="B759" s="27"/>
      <c r="C759" s="27"/>
      <c r="D759" s="27"/>
      <c r="E759" s="27"/>
      <c r="F759" s="27"/>
      <c r="G759" s="27"/>
      <c r="H759" s="27"/>
    </row>
    <row r="760" spans="1:8">
      <c r="A760" s="27"/>
      <c r="B760" s="27"/>
      <c r="C760" s="27"/>
      <c r="D760" s="27"/>
      <c r="E760" s="27"/>
      <c r="F760" s="27"/>
      <c r="G760" s="27"/>
      <c r="H760" s="27"/>
    </row>
    <row r="761" spans="1:8">
      <c r="A761" s="27"/>
      <c r="B761" s="27"/>
      <c r="C761" s="27"/>
      <c r="D761" s="27"/>
      <c r="E761" s="27"/>
      <c r="F761" s="27"/>
      <c r="G761" s="27"/>
      <c r="H761" s="27"/>
    </row>
    <row r="762" spans="1:8">
      <c r="A762" s="27"/>
      <c r="B762" s="27"/>
      <c r="C762" s="27"/>
      <c r="D762" s="27"/>
      <c r="E762" s="27"/>
      <c r="F762" s="27"/>
      <c r="G762" s="27"/>
      <c r="H762" s="27"/>
    </row>
    <row r="763" spans="1:8">
      <c r="A763" s="27"/>
      <c r="B763" s="27"/>
      <c r="C763" s="27"/>
      <c r="D763" s="27"/>
      <c r="E763" s="27"/>
      <c r="F763" s="27"/>
      <c r="G763" s="27"/>
      <c r="H763" s="27"/>
    </row>
    <row r="764" spans="1:8">
      <c r="A764" s="27"/>
      <c r="B764" s="27"/>
      <c r="C764" s="27"/>
      <c r="D764" s="27"/>
      <c r="E764" s="27"/>
      <c r="F764" s="27"/>
      <c r="G764" s="27"/>
      <c r="H764" s="27"/>
    </row>
    <row r="765" spans="1:8">
      <c r="A765" s="27"/>
      <c r="B765" s="27"/>
      <c r="C765" s="27"/>
      <c r="D765" s="27"/>
      <c r="E765" s="27"/>
      <c r="F765" s="27"/>
      <c r="G765" s="27"/>
      <c r="H765" s="27"/>
    </row>
    <row r="766" spans="1:8">
      <c r="A766" s="27"/>
      <c r="B766" s="27"/>
      <c r="C766" s="27"/>
      <c r="D766" s="27"/>
      <c r="E766" s="27"/>
      <c r="F766" s="27"/>
      <c r="G766" s="27"/>
      <c r="H766" s="27"/>
    </row>
    <row r="767" spans="1:8">
      <c r="A767" s="27"/>
      <c r="B767" s="27"/>
      <c r="C767" s="27"/>
      <c r="D767" s="27"/>
      <c r="E767" s="27"/>
      <c r="F767" s="27"/>
      <c r="G767" s="27"/>
      <c r="H767" s="27"/>
    </row>
    <row r="768" spans="1:8">
      <c r="A768" s="27"/>
      <c r="B768" s="27"/>
      <c r="C768" s="27"/>
      <c r="D768" s="27"/>
      <c r="E768" s="27"/>
      <c r="F768" s="27"/>
      <c r="G768" s="27"/>
      <c r="H768" s="27"/>
    </row>
    <row r="769" spans="1:8">
      <c r="A769" s="27"/>
      <c r="B769" s="27"/>
      <c r="C769" s="27"/>
      <c r="D769" s="27"/>
      <c r="E769" s="27"/>
      <c r="F769" s="27"/>
      <c r="G769" s="27"/>
      <c r="H769" s="27"/>
    </row>
    <row r="770" spans="1:8">
      <c r="A770" s="27"/>
      <c r="B770" s="27"/>
      <c r="C770" s="27"/>
      <c r="D770" s="27"/>
      <c r="E770" s="27"/>
      <c r="F770" s="27"/>
      <c r="G770" s="27"/>
      <c r="H770" s="27"/>
    </row>
    <row r="771" spans="1:8">
      <c r="A771" s="27"/>
      <c r="B771" s="27"/>
      <c r="C771" s="27"/>
      <c r="D771" s="27"/>
      <c r="E771" s="27"/>
      <c r="F771" s="27"/>
      <c r="G771" s="27"/>
      <c r="H771" s="27"/>
    </row>
    <row r="772" spans="1:8">
      <c r="A772" s="27"/>
      <c r="B772" s="27"/>
      <c r="C772" s="27"/>
      <c r="D772" s="27"/>
      <c r="E772" s="27"/>
      <c r="F772" s="27"/>
      <c r="G772" s="27"/>
      <c r="H772" s="27"/>
    </row>
    <row r="773" spans="1:8">
      <c r="A773" s="27"/>
      <c r="B773" s="27"/>
      <c r="C773" s="27"/>
      <c r="D773" s="27"/>
      <c r="E773" s="27"/>
      <c r="F773" s="27"/>
      <c r="G773" s="27"/>
      <c r="H773" s="27"/>
    </row>
    <row r="774" spans="1:8">
      <c r="A774" s="27"/>
      <c r="B774" s="27"/>
      <c r="C774" s="27"/>
      <c r="D774" s="27"/>
      <c r="E774" s="27"/>
      <c r="F774" s="27"/>
      <c r="G774" s="27"/>
      <c r="H774" s="27"/>
    </row>
    <row r="775" spans="1:8">
      <c r="A775" s="27"/>
      <c r="B775" s="27"/>
      <c r="C775" s="27"/>
      <c r="D775" s="27"/>
      <c r="E775" s="27"/>
      <c r="F775" s="27"/>
      <c r="G775" s="27"/>
      <c r="H775" s="27"/>
    </row>
    <row r="776" spans="1:8">
      <c r="A776" s="27"/>
      <c r="B776" s="27"/>
      <c r="C776" s="27"/>
      <c r="D776" s="27"/>
      <c r="E776" s="27"/>
      <c r="F776" s="27"/>
      <c r="G776" s="27"/>
      <c r="H776" s="27"/>
    </row>
    <row r="777" spans="1:8">
      <c r="A777" s="27"/>
      <c r="B777" s="27"/>
      <c r="C777" s="27"/>
      <c r="D777" s="27"/>
      <c r="E777" s="27"/>
      <c r="F777" s="27"/>
      <c r="G777" s="27"/>
      <c r="H777" s="27"/>
    </row>
    <row r="778" spans="1:8">
      <c r="A778" s="27"/>
      <c r="B778" s="27"/>
      <c r="C778" s="27"/>
      <c r="D778" s="27"/>
      <c r="E778" s="27"/>
      <c r="F778" s="27"/>
      <c r="G778" s="27"/>
      <c r="H778" s="27"/>
    </row>
    <row r="779" spans="1:8">
      <c r="A779" s="27"/>
      <c r="B779" s="27"/>
      <c r="C779" s="27"/>
      <c r="D779" s="27"/>
      <c r="E779" s="27"/>
      <c r="F779" s="27"/>
      <c r="G779" s="27"/>
      <c r="H779" s="27"/>
    </row>
    <row r="780" spans="1:8">
      <c r="A780" s="27"/>
      <c r="B780" s="27"/>
      <c r="C780" s="27"/>
      <c r="D780" s="27"/>
      <c r="E780" s="27"/>
      <c r="F780" s="27"/>
      <c r="G780" s="27"/>
      <c r="H780" s="27"/>
    </row>
    <row r="781" spans="1:8">
      <c r="A781" s="27"/>
      <c r="B781" s="27"/>
      <c r="C781" s="27"/>
      <c r="D781" s="27"/>
      <c r="E781" s="27"/>
      <c r="F781" s="27"/>
      <c r="G781" s="27"/>
      <c r="H781" s="27"/>
    </row>
    <row r="782" spans="1:8">
      <c r="A782" s="27"/>
      <c r="B782" s="27"/>
      <c r="C782" s="27"/>
      <c r="D782" s="27"/>
      <c r="E782" s="27"/>
      <c r="F782" s="27"/>
      <c r="G782" s="27"/>
      <c r="H782" s="27"/>
    </row>
    <row r="783" spans="1:8">
      <c r="A783" s="27"/>
      <c r="B783" s="27"/>
      <c r="C783" s="27"/>
      <c r="D783" s="27"/>
      <c r="E783" s="27"/>
      <c r="F783" s="27"/>
      <c r="G783" s="27"/>
      <c r="H783" s="27"/>
    </row>
    <row r="784" spans="1:8">
      <c r="A784" s="27"/>
      <c r="B784" s="27"/>
      <c r="C784" s="27"/>
      <c r="D784" s="27"/>
      <c r="E784" s="27"/>
      <c r="F784" s="27"/>
      <c r="G784" s="27"/>
      <c r="H784" s="27"/>
    </row>
    <row r="785" spans="1:8">
      <c r="A785" s="27"/>
      <c r="B785" s="27"/>
      <c r="C785" s="27"/>
      <c r="D785" s="27"/>
      <c r="E785" s="27"/>
      <c r="F785" s="27"/>
      <c r="G785" s="27"/>
      <c r="H785" s="27"/>
    </row>
    <row r="786" spans="1:8">
      <c r="A786" s="27"/>
      <c r="B786" s="27"/>
      <c r="C786" s="27"/>
      <c r="D786" s="27"/>
      <c r="E786" s="27"/>
      <c r="F786" s="27"/>
      <c r="G786" s="27"/>
      <c r="H786" s="27"/>
    </row>
    <row r="787" spans="1:8">
      <c r="A787" s="27"/>
      <c r="B787" s="27"/>
      <c r="C787" s="27"/>
      <c r="D787" s="27"/>
      <c r="E787" s="27"/>
      <c r="F787" s="27"/>
      <c r="G787" s="27"/>
      <c r="H787" s="27"/>
    </row>
    <row r="788" spans="1:8">
      <c r="A788" s="27"/>
      <c r="B788" s="27"/>
      <c r="C788" s="27"/>
      <c r="D788" s="27"/>
      <c r="E788" s="27"/>
      <c r="F788" s="27"/>
      <c r="G788" s="27"/>
      <c r="H788" s="27"/>
    </row>
    <row r="789" spans="1:8">
      <c r="A789" s="27"/>
      <c r="B789" s="27"/>
      <c r="C789" s="27"/>
      <c r="D789" s="27"/>
      <c r="E789" s="27"/>
      <c r="F789" s="27"/>
      <c r="G789" s="27"/>
      <c r="H789" s="27"/>
    </row>
    <row r="790" spans="1:8">
      <c r="A790" s="27"/>
      <c r="B790" s="27"/>
      <c r="C790" s="27"/>
      <c r="D790" s="27"/>
      <c r="E790" s="27"/>
      <c r="F790" s="27"/>
      <c r="G790" s="27"/>
      <c r="H790" s="27"/>
    </row>
    <row r="791" spans="1:8">
      <c r="A791" s="27"/>
      <c r="B791" s="27"/>
      <c r="C791" s="27"/>
      <c r="D791" s="27"/>
      <c r="E791" s="27"/>
      <c r="F791" s="27"/>
      <c r="G791" s="27"/>
      <c r="H791" s="27"/>
    </row>
    <row r="792" spans="1:8">
      <c r="A792" s="27"/>
      <c r="B792" s="27"/>
      <c r="C792" s="27"/>
      <c r="D792" s="27"/>
      <c r="E792" s="27"/>
      <c r="F792" s="27"/>
      <c r="G792" s="27"/>
      <c r="H792" s="27"/>
    </row>
    <row r="793" spans="1:8">
      <c r="A793" s="27"/>
      <c r="B793" s="27"/>
      <c r="C793" s="27"/>
      <c r="D793" s="27"/>
      <c r="E793" s="27"/>
      <c r="F793" s="27"/>
      <c r="G793" s="27"/>
      <c r="H793" s="27"/>
    </row>
    <row r="794" spans="1:8">
      <c r="A794" s="27"/>
      <c r="B794" s="27"/>
      <c r="C794" s="27"/>
      <c r="D794" s="27"/>
      <c r="E794" s="27"/>
      <c r="F794" s="27"/>
      <c r="G794" s="27"/>
      <c r="H794" s="27"/>
    </row>
    <row r="795" spans="1:8">
      <c r="A795" s="27"/>
      <c r="B795" s="27"/>
      <c r="C795" s="27"/>
      <c r="D795" s="27"/>
      <c r="E795" s="27"/>
      <c r="F795" s="27"/>
      <c r="G795" s="27"/>
      <c r="H795" s="27"/>
    </row>
    <row r="796" spans="1:8">
      <c r="A796" s="27"/>
      <c r="B796" s="27"/>
      <c r="C796" s="27"/>
      <c r="D796" s="27"/>
      <c r="E796" s="27"/>
      <c r="F796" s="27"/>
      <c r="G796" s="27"/>
      <c r="H796" s="27"/>
    </row>
    <row r="797" spans="1:8">
      <c r="A797" s="27"/>
      <c r="B797" s="27"/>
      <c r="C797" s="27"/>
      <c r="D797" s="27"/>
      <c r="E797" s="27"/>
      <c r="F797" s="27"/>
      <c r="G797" s="27"/>
      <c r="H797" s="27"/>
    </row>
    <row r="798" spans="1:8">
      <c r="A798" s="27"/>
      <c r="B798" s="27"/>
      <c r="C798" s="27"/>
      <c r="D798" s="27"/>
      <c r="E798" s="27"/>
      <c r="F798" s="27"/>
      <c r="G798" s="27"/>
      <c r="H798" s="27"/>
    </row>
    <row r="799" spans="1:8">
      <c r="A799" s="27"/>
      <c r="B799" s="27"/>
      <c r="C799" s="27"/>
      <c r="D799" s="27"/>
      <c r="E799" s="27"/>
      <c r="F799" s="27"/>
      <c r="G799" s="27"/>
      <c r="H799" s="27"/>
    </row>
    <row r="800" spans="1:8">
      <c r="A800" s="27"/>
      <c r="B800" s="27"/>
      <c r="C800" s="27"/>
      <c r="D800" s="27"/>
      <c r="E800" s="27"/>
      <c r="F800" s="27"/>
      <c r="G800" s="27"/>
      <c r="H800" s="27"/>
    </row>
    <row r="801" spans="1:8">
      <c r="A801" s="27"/>
      <c r="B801" s="27"/>
      <c r="C801" s="27"/>
      <c r="D801" s="27"/>
      <c r="E801" s="27"/>
      <c r="F801" s="27"/>
      <c r="G801" s="27"/>
      <c r="H801" s="27"/>
    </row>
    <row r="802" spans="1:8">
      <c r="A802" s="27"/>
      <c r="B802" s="27"/>
      <c r="C802" s="27"/>
      <c r="D802" s="27"/>
      <c r="E802" s="27"/>
      <c r="F802" s="27"/>
      <c r="G802" s="27"/>
      <c r="H802" s="27"/>
    </row>
    <row r="803" spans="1:8">
      <c r="A803" s="27"/>
      <c r="B803" s="27"/>
      <c r="C803" s="27"/>
      <c r="D803" s="27"/>
      <c r="E803" s="27"/>
      <c r="F803" s="27"/>
      <c r="G803" s="27"/>
      <c r="H803" s="27"/>
    </row>
    <row r="804" spans="1:8">
      <c r="A804" s="27"/>
      <c r="B804" s="27"/>
      <c r="C804" s="27"/>
      <c r="D804" s="27"/>
      <c r="E804" s="27"/>
      <c r="F804" s="27"/>
      <c r="G804" s="27"/>
      <c r="H804" s="27"/>
    </row>
    <row r="805" spans="1:8">
      <c r="A805" s="27"/>
      <c r="B805" s="27"/>
      <c r="C805" s="27"/>
      <c r="D805" s="27"/>
      <c r="E805" s="27"/>
      <c r="F805" s="27"/>
      <c r="G805" s="27"/>
      <c r="H805" s="27"/>
    </row>
    <row r="806" spans="1:8">
      <c r="A806" s="27"/>
      <c r="B806" s="27"/>
      <c r="C806" s="27"/>
      <c r="D806" s="27"/>
      <c r="E806" s="27"/>
      <c r="F806" s="27"/>
      <c r="G806" s="27"/>
      <c r="H806" s="27"/>
    </row>
    <row r="807" spans="1:8">
      <c r="A807" s="27"/>
      <c r="B807" s="27"/>
      <c r="C807" s="27"/>
      <c r="D807" s="27"/>
      <c r="E807" s="27"/>
      <c r="F807" s="27"/>
      <c r="G807" s="27"/>
      <c r="H807" s="27"/>
    </row>
    <row r="808" spans="1:8">
      <c r="A808" s="27"/>
      <c r="B808" s="27"/>
      <c r="C808" s="27"/>
      <c r="D808" s="27"/>
      <c r="E808" s="27"/>
      <c r="F808" s="27"/>
      <c r="G808" s="27"/>
      <c r="H808" s="27"/>
    </row>
    <row r="809" spans="1:8">
      <c r="A809" s="27"/>
      <c r="B809" s="27"/>
      <c r="C809" s="27"/>
      <c r="D809" s="27"/>
      <c r="E809" s="27"/>
      <c r="F809" s="27"/>
      <c r="G809" s="27"/>
      <c r="H809" s="27"/>
    </row>
    <row r="810" spans="1:8">
      <c r="A810" s="27"/>
      <c r="B810" s="27"/>
      <c r="C810" s="27"/>
      <c r="D810" s="27"/>
      <c r="E810" s="27"/>
      <c r="F810" s="27"/>
      <c r="G810" s="27"/>
      <c r="H810" s="27"/>
    </row>
    <row r="811" spans="1:8">
      <c r="A811" s="27"/>
      <c r="B811" s="27"/>
      <c r="C811" s="27"/>
      <c r="D811" s="27"/>
      <c r="E811" s="27"/>
      <c r="F811" s="27"/>
      <c r="G811" s="27"/>
      <c r="H811" s="27"/>
    </row>
    <row r="812" spans="1:8">
      <c r="A812" s="27"/>
      <c r="B812" s="27"/>
      <c r="C812" s="27"/>
      <c r="D812" s="27"/>
      <c r="E812" s="27"/>
      <c r="F812" s="27"/>
      <c r="G812" s="27"/>
      <c r="H812" s="27"/>
    </row>
    <row r="813" spans="1:8">
      <c r="A813" s="27"/>
      <c r="B813" s="27"/>
      <c r="C813" s="27"/>
      <c r="D813" s="27"/>
      <c r="E813" s="27"/>
      <c r="F813" s="27"/>
      <c r="G813" s="27"/>
      <c r="H813" s="27"/>
    </row>
    <row r="814" spans="1:8">
      <c r="A814" s="27"/>
      <c r="B814" s="27"/>
      <c r="C814" s="27"/>
      <c r="D814" s="27"/>
      <c r="E814" s="27"/>
      <c r="F814" s="27"/>
      <c r="G814" s="27"/>
      <c r="H814" s="27"/>
    </row>
    <row r="815" spans="1:8">
      <c r="A815" s="27"/>
      <c r="B815" s="27"/>
      <c r="C815" s="27"/>
      <c r="D815" s="27"/>
      <c r="E815" s="27"/>
      <c r="F815" s="27"/>
      <c r="G815" s="27"/>
      <c r="H815" s="27"/>
    </row>
    <row r="816" spans="1:8">
      <c r="A816" s="27"/>
      <c r="B816" s="27"/>
      <c r="C816" s="27"/>
      <c r="D816" s="27"/>
      <c r="E816" s="27"/>
      <c r="F816" s="27"/>
      <c r="G816" s="27"/>
      <c r="H816" s="27"/>
    </row>
    <row r="817" spans="1:8">
      <c r="A817" s="27"/>
      <c r="B817" s="27"/>
      <c r="C817" s="27"/>
      <c r="D817" s="27"/>
      <c r="E817" s="27"/>
      <c r="F817" s="27"/>
      <c r="G817" s="27"/>
      <c r="H817" s="27"/>
    </row>
    <row r="818" spans="1:8">
      <c r="A818" s="27"/>
      <c r="B818" s="27"/>
      <c r="C818" s="27"/>
      <c r="D818" s="27"/>
      <c r="E818" s="27"/>
      <c r="F818" s="27"/>
      <c r="G818" s="27"/>
      <c r="H818" s="27"/>
    </row>
    <row r="819" spans="1:8">
      <c r="A819" s="27"/>
      <c r="B819" s="27"/>
      <c r="C819" s="27"/>
      <c r="D819" s="27"/>
      <c r="E819" s="27"/>
      <c r="F819" s="27"/>
      <c r="G819" s="27"/>
      <c r="H819" s="27"/>
    </row>
    <row r="820" spans="1:8">
      <c r="A820" s="27"/>
      <c r="B820" s="27"/>
      <c r="C820" s="27"/>
      <c r="D820" s="27"/>
      <c r="E820" s="27"/>
      <c r="F820" s="27"/>
      <c r="G820" s="27"/>
      <c r="H820" s="27"/>
    </row>
    <row r="821" spans="1:8">
      <c r="A821" s="27"/>
      <c r="B821" s="27"/>
      <c r="C821" s="27"/>
      <c r="D821" s="27"/>
      <c r="E821" s="27"/>
      <c r="F821" s="27"/>
      <c r="G821" s="27"/>
      <c r="H821" s="27"/>
    </row>
    <row r="822" spans="1:8">
      <c r="A822" s="27"/>
      <c r="B822" s="27"/>
      <c r="C822" s="27"/>
      <c r="D822" s="27"/>
      <c r="E822" s="27"/>
      <c r="F822" s="27"/>
      <c r="G822" s="27"/>
      <c r="H822" s="27"/>
    </row>
    <row r="823" spans="1:8">
      <c r="A823" s="27"/>
      <c r="B823" s="27"/>
      <c r="C823" s="27"/>
      <c r="D823" s="27"/>
      <c r="E823" s="27"/>
      <c r="F823" s="27"/>
      <c r="G823" s="27"/>
      <c r="H823" s="27"/>
    </row>
    <row r="824" spans="1:8">
      <c r="A824" s="27"/>
      <c r="B824" s="27"/>
      <c r="C824" s="27"/>
      <c r="D824" s="27"/>
      <c r="E824" s="27"/>
      <c r="F824" s="27"/>
      <c r="G824" s="27"/>
      <c r="H824" s="27"/>
    </row>
    <row r="825" spans="1:8">
      <c r="A825" s="27"/>
      <c r="B825" s="27"/>
      <c r="C825" s="27"/>
      <c r="D825" s="27"/>
      <c r="E825" s="27"/>
      <c r="F825" s="27"/>
      <c r="G825" s="27"/>
      <c r="H825" s="27"/>
    </row>
    <row r="826" spans="1:8">
      <c r="A826" s="27"/>
      <c r="B826" s="27"/>
      <c r="C826" s="27"/>
      <c r="D826" s="27"/>
      <c r="E826" s="27"/>
      <c r="F826" s="27"/>
      <c r="G826" s="27"/>
      <c r="H826" s="27"/>
    </row>
    <row r="827" spans="1:8">
      <c r="A827" s="27"/>
      <c r="B827" s="27"/>
      <c r="C827" s="27"/>
      <c r="D827" s="27"/>
      <c r="E827" s="27"/>
      <c r="F827" s="27"/>
      <c r="G827" s="27"/>
      <c r="H827" s="27"/>
    </row>
    <row r="828" spans="1:8">
      <c r="A828" s="27"/>
      <c r="B828" s="27"/>
      <c r="C828" s="27"/>
      <c r="D828" s="27"/>
      <c r="E828" s="27"/>
      <c r="F828" s="27"/>
      <c r="G828" s="27"/>
      <c r="H828" s="27"/>
    </row>
    <row r="829" spans="1:8">
      <c r="A829" s="27"/>
      <c r="B829" s="27"/>
      <c r="C829" s="27"/>
      <c r="D829" s="27"/>
      <c r="E829" s="27"/>
      <c r="F829" s="27"/>
      <c r="G829" s="27"/>
      <c r="H829" s="27"/>
    </row>
    <row r="830" spans="1:8">
      <c r="A830" s="27"/>
      <c r="B830" s="27"/>
      <c r="C830" s="27"/>
      <c r="D830" s="27"/>
      <c r="E830" s="27"/>
      <c r="F830" s="27"/>
      <c r="G830" s="27"/>
      <c r="H830" s="27"/>
    </row>
    <row r="831" spans="1:8">
      <c r="A831" s="27"/>
      <c r="B831" s="27"/>
      <c r="C831" s="27"/>
      <c r="D831" s="27"/>
      <c r="E831" s="27"/>
      <c r="F831" s="27"/>
      <c r="G831" s="27"/>
      <c r="H831" s="27"/>
    </row>
    <row r="832" spans="1:8">
      <c r="A832" s="27"/>
      <c r="B832" s="27"/>
      <c r="C832" s="27"/>
      <c r="D832" s="27"/>
      <c r="E832" s="27"/>
      <c r="F832" s="27"/>
      <c r="G832" s="27"/>
      <c r="H832" s="27"/>
    </row>
    <row r="833" spans="1:8">
      <c r="A833" s="27"/>
      <c r="B833" s="27"/>
      <c r="C833" s="27"/>
      <c r="D833" s="27"/>
      <c r="E833" s="27"/>
      <c r="F833" s="27"/>
      <c r="G833" s="27"/>
      <c r="H833" s="27"/>
    </row>
    <row r="834" spans="1:8">
      <c r="A834" s="27"/>
      <c r="B834" s="27"/>
      <c r="C834" s="27"/>
      <c r="D834" s="27"/>
      <c r="E834" s="27"/>
      <c r="F834" s="27"/>
      <c r="G834" s="27"/>
      <c r="H834" s="27"/>
    </row>
    <row r="835" spans="1:8">
      <c r="A835" s="27"/>
      <c r="B835" s="27"/>
      <c r="C835" s="27"/>
      <c r="D835" s="27"/>
      <c r="E835" s="27"/>
      <c r="F835" s="27"/>
      <c r="G835" s="27"/>
      <c r="H835" s="27"/>
    </row>
    <row r="836" spans="1:8">
      <c r="A836" s="27"/>
      <c r="B836" s="27"/>
      <c r="C836" s="27"/>
      <c r="D836" s="27"/>
      <c r="E836" s="27"/>
      <c r="F836" s="27"/>
      <c r="G836" s="27"/>
      <c r="H836" s="27"/>
    </row>
    <row r="837" spans="1:8">
      <c r="A837" s="27"/>
      <c r="B837" s="27"/>
      <c r="C837" s="27"/>
      <c r="D837" s="27"/>
      <c r="E837" s="27"/>
      <c r="F837" s="27"/>
      <c r="G837" s="27"/>
      <c r="H837" s="27"/>
    </row>
    <row r="838" spans="1:8">
      <c r="A838" s="27"/>
      <c r="B838" s="27"/>
      <c r="C838" s="27"/>
      <c r="D838" s="27"/>
      <c r="E838" s="27"/>
      <c r="F838" s="27"/>
      <c r="G838" s="27"/>
      <c r="H838" s="27"/>
    </row>
    <row r="839" spans="1:8">
      <c r="A839" s="27"/>
      <c r="B839" s="27"/>
      <c r="C839" s="27"/>
      <c r="D839" s="27"/>
      <c r="E839" s="27"/>
      <c r="F839" s="27"/>
      <c r="G839" s="27"/>
      <c r="H839" s="27"/>
    </row>
    <row r="840" spans="1:8">
      <c r="A840" s="27"/>
      <c r="B840" s="27"/>
      <c r="C840" s="27"/>
      <c r="D840" s="27"/>
      <c r="E840" s="27"/>
      <c r="F840" s="27"/>
      <c r="G840" s="27"/>
      <c r="H840" s="27"/>
    </row>
    <row r="841" spans="1:8">
      <c r="A841" s="27"/>
      <c r="B841" s="27"/>
      <c r="C841" s="27"/>
      <c r="D841" s="27"/>
      <c r="E841" s="27"/>
      <c r="F841" s="27"/>
      <c r="G841" s="27"/>
      <c r="H841" s="27"/>
    </row>
    <row r="842" spans="1:8">
      <c r="A842" s="27"/>
      <c r="B842" s="27"/>
      <c r="C842" s="27"/>
      <c r="D842" s="27"/>
      <c r="E842" s="27"/>
      <c r="F842" s="27"/>
      <c r="G842" s="27"/>
      <c r="H842" s="27"/>
    </row>
    <row r="843" spans="1:8">
      <c r="A843" s="27"/>
      <c r="B843" s="27"/>
      <c r="C843" s="27"/>
      <c r="D843" s="27"/>
      <c r="E843" s="27"/>
      <c r="F843" s="27"/>
      <c r="G843" s="27"/>
      <c r="H843" s="27"/>
    </row>
    <row r="844" spans="1:8">
      <c r="A844" s="27"/>
      <c r="B844" s="27"/>
      <c r="C844" s="27"/>
      <c r="D844" s="27"/>
      <c r="E844" s="27"/>
      <c r="F844" s="27"/>
      <c r="G844" s="27"/>
      <c r="H844" s="27"/>
    </row>
    <row r="845" spans="1:8">
      <c r="A845" s="27"/>
      <c r="B845" s="27"/>
      <c r="C845" s="27"/>
      <c r="D845" s="27"/>
      <c r="E845" s="27"/>
      <c r="F845" s="27"/>
      <c r="G845" s="27"/>
      <c r="H845" s="27"/>
    </row>
    <row r="846" spans="1:8">
      <c r="A846" s="27"/>
      <c r="B846" s="27"/>
      <c r="C846" s="27"/>
      <c r="D846" s="27"/>
      <c r="E846" s="27"/>
      <c r="F846" s="27"/>
      <c r="G846" s="27"/>
      <c r="H846" s="27"/>
    </row>
    <row r="847" spans="1:8">
      <c r="A847" s="27"/>
      <c r="B847" s="27"/>
      <c r="C847" s="27"/>
      <c r="D847" s="27"/>
      <c r="E847" s="27"/>
      <c r="F847" s="27"/>
      <c r="G847" s="27"/>
      <c r="H847" s="27"/>
    </row>
    <row r="848" spans="1:8">
      <c r="A848" s="27"/>
      <c r="B848" s="27"/>
      <c r="C848" s="27"/>
      <c r="D848" s="27"/>
      <c r="E848" s="27"/>
      <c r="F848" s="27"/>
      <c r="G848" s="27"/>
      <c r="H848" s="27"/>
    </row>
    <row r="849" spans="1:8">
      <c r="A849" s="27"/>
      <c r="B849" s="27"/>
      <c r="C849" s="27"/>
      <c r="D849" s="27"/>
      <c r="E849" s="27"/>
      <c r="F849" s="27"/>
      <c r="G849" s="27"/>
      <c r="H849" s="27"/>
    </row>
    <row r="850" spans="1:8">
      <c r="A850" s="27"/>
      <c r="B850" s="27"/>
      <c r="C850" s="27"/>
      <c r="D850" s="27"/>
      <c r="E850" s="27"/>
      <c r="F850" s="27"/>
      <c r="G850" s="27"/>
      <c r="H850" s="27"/>
    </row>
    <row r="851" spans="1:8">
      <c r="A851" s="27"/>
      <c r="B851" s="27"/>
      <c r="C851" s="27"/>
      <c r="D851" s="27"/>
      <c r="E851" s="27"/>
      <c r="F851" s="27"/>
      <c r="G851" s="27"/>
      <c r="H851" s="27"/>
    </row>
    <row r="852" spans="1:8">
      <c r="A852" s="27"/>
      <c r="B852" s="27"/>
      <c r="C852" s="27"/>
      <c r="D852" s="27"/>
      <c r="E852" s="27"/>
      <c r="F852" s="27"/>
      <c r="G852" s="27"/>
      <c r="H852" s="27"/>
    </row>
    <row r="853" spans="1:8">
      <c r="A853" s="27"/>
      <c r="B853" s="27"/>
      <c r="C853" s="27"/>
      <c r="D853" s="27"/>
      <c r="E853" s="27"/>
      <c r="F853" s="27"/>
      <c r="G853" s="27"/>
      <c r="H853" s="27"/>
    </row>
    <row r="854" spans="1:8">
      <c r="A854" s="27"/>
      <c r="B854" s="27"/>
      <c r="C854" s="27"/>
      <c r="D854" s="27"/>
      <c r="E854" s="27"/>
      <c r="F854" s="27"/>
      <c r="G854" s="27"/>
      <c r="H854" s="27"/>
    </row>
    <row r="855" spans="1:8">
      <c r="A855" s="27"/>
      <c r="B855" s="27"/>
      <c r="C855" s="27"/>
      <c r="D855" s="27"/>
      <c r="E855" s="27"/>
      <c r="F855" s="27"/>
      <c r="G855" s="27"/>
      <c r="H855" s="27"/>
    </row>
    <row r="856" spans="1:8">
      <c r="A856" s="27"/>
      <c r="B856" s="27"/>
      <c r="C856" s="27"/>
      <c r="D856" s="27"/>
      <c r="E856" s="27"/>
      <c r="F856" s="27"/>
      <c r="G856" s="27"/>
      <c r="H856" s="27"/>
    </row>
    <row r="857" spans="1:8">
      <c r="A857" s="27"/>
      <c r="B857" s="27"/>
      <c r="C857" s="27"/>
      <c r="D857" s="27"/>
      <c r="E857" s="27"/>
      <c r="F857" s="27"/>
      <c r="G857" s="27"/>
      <c r="H857" s="27"/>
    </row>
    <row r="858" spans="1:8">
      <c r="A858" s="27"/>
      <c r="B858" s="27"/>
      <c r="C858" s="27"/>
      <c r="D858" s="27"/>
      <c r="E858" s="27"/>
      <c r="F858" s="27"/>
      <c r="G858" s="27"/>
      <c r="H858" s="27"/>
    </row>
    <row r="859" spans="1:8">
      <c r="A859" s="27"/>
      <c r="B859" s="27"/>
      <c r="C859" s="27"/>
      <c r="D859" s="27"/>
      <c r="E859" s="27"/>
      <c r="F859" s="27"/>
      <c r="G859" s="27"/>
      <c r="H859" s="27"/>
    </row>
    <row r="860" spans="1:8">
      <c r="A860" s="27"/>
      <c r="B860" s="27"/>
      <c r="C860" s="27"/>
      <c r="D860" s="27"/>
      <c r="E860" s="27"/>
      <c r="F860" s="27"/>
      <c r="G860" s="27"/>
      <c r="H860" s="27"/>
    </row>
    <row r="861" spans="1:8">
      <c r="A861" s="27"/>
      <c r="B861" s="27"/>
      <c r="C861" s="27"/>
      <c r="D861" s="27"/>
      <c r="E861" s="27"/>
      <c r="F861" s="27"/>
      <c r="G861" s="27"/>
      <c r="H861" s="27"/>
    </row>
    <row r="862" spans="1:8">
      <c r="A862" s="27"/>
      <c r="B862" s="27"/>
      <c r="C862" s="27"/>
      <c r="D862" s="27"/>
      <c r="E862" s="27"/>
      <c r="F862" s="27"/>
      <c r="G862" s="27"/>
      <c r="H862" s="27"/>
    </row>
    <row r="863" spans="1:8">
      <c r="A863" s="27"/>
      <c r="B863" s="27"/>
      <c r="C863" s="27"/>
      <c r="D863" s="27"/>
      <c r="E863" s="27"/>
      <c r="F863" s="27"/>
      <c r="G863" s="27"/>
      <c r="H863" s="27"/>
    </row>
    <row r="864" spans="1:8">
      <c r="A864" s="27"/>
      <c r="B864" s="27"/>
      <c r="C864" s="27"/>
      <c r="D864" s="27"/>
      <c r="E864" s="27"/>
      <c r="F864" s="27"/>
      <c r="G864" s="27"/>
      <c r="H864" s="27"/>
    </row>
    <row r="865" spans="1:8">
      <c r="A865" s="27"/>
      <c r="B865" s="27"/>
      <c r="C865" s="27"/>
      <c r="D865" s="27"/>
      <c r="E865" s="27"/>
      <c r="F865" s="27"/>
      <c r="G865" s="27"/>
      <c r="H865" s="27"/>
    </row>
    <row r="866" spans="1:8">
      <c r="A866" s="27"/>
      <c r="B866" s="27"/>
      <c r="C866" s="27"/>
      <c r="D866" s="27"/>
      <c r="E866" s="27"/>
      <c r="F866" s="27"/>
      <c r="G866" s="27"/>
      <c r="H866" s="27"/>
    </row>
    <row r="867" spans="1:8">
      <c r="A867" s="27"/>
      <c r="B867" s="27"/>
      <c r="C867" s="27"/>
      <c r="D867" s="27"/>
      <c r="E867" s="27"/>
      <c r="F867" s="27"/>
      <c r="G867" s="27"/>
      <c r="H867" s="27"/>
    </row>
    <row r="868" spans="1:8">
      <c r="A868" s="27"/>
      <c r="B868" s="27"/>
      <c r="C868" s="27"/>
      <c r="D868" s="27"/>
      <c r="E868" s="27"/>
      <c r="F868" s="27"/>
      <c r="G868" s="27"/>
      <c r="H868" s="27"/>
    </row>
    <row r="869" spans="1:8">
      <c r="A869" s="27"/>
      <c r="B869" s="27"/>
      <c r="C869" s="27"/>
      <c r="D869" s="27"/>
      <c r="E869" s="27"/>
      <c r="F869" s="27"/>
      <c r="G869" s="27"/>
      <c r="H869" s="27"/>
    </row>
    <row r="870" spans="1:8">
      <c r="A870" s="27"/>
      <c r="B870" s="27"/>
      <c r="C870" s="27"/>
      <c r="D870" s="27"/>
      <c r="E870" s="27"/>
      <c r="F870" s="27"/>
      <c r="G870" s="27"/>
      <c r="H870" s="27"/>
    </row>
    <row r="871" spans="1:8">
      <c r="A871" s="27"/>
      <c r="B871" s="27"/>
      <c r="C871" s="27"/>
      <c r="D871" s="27"/>
      <c r="E871" s="27"/>
      <c r="F871" s="27"/>
      <c r="G871" s="27"/>
      <c r="H871" s="27"/>
    </row>
    <row r="872" spans="1:8">
      <c r="A872" s="27"/>
      <c r="B872" s="27"/>
      <c r="C872" s="27"/>
      <c r="D872" s="27"/>
      <c r="E872" s="27"/>
      <c r="F872" s="27"/>
      <c r="G872" s="27"/>
      <c r="H872" s="27"/>
    </row>
    <row r="873" spans="1:8">
      <c r="A873" s="27"/>
      <c r="B873" s="27"/>
      <c r="C873" s="27"/>
      <c r="D873" s="27"/>
      <c r="E873" s="27"/>
      <c r="F873" s="27"/>
      <c r="G873" s="27"/>
      <c r="H873" s="27"/>
    </row>
    <row r="874" spans="1:8">
      <c r="A874" s="27"/>
      <c r="B874" s="27"/>
      <c r="C874" s="27"/>
      <c r="D874" s="27"/>
      <c r="E874" s="27"/>
      <c r="F874" s="27"/>
      <c r="G874" s="27"/>
      <c r="H874" s="27"/>
    </row>
    <row r="875" spans="1:8">
      <c r="A875" s="27"/>
      <c r="B875" s="27"/>
      <c r="C875" s="27"/>
      <c r="D875" s="27"/>
      <c r="E875" s="27"/>
      <c r="F875" s="27"/>
      <c r="G875" s="27"/>
      <c r="H875" s="27"/>
    </row>
    <row r="876" spans="1:8">
      <c r="A876" s="27"/>
      <c r="B876" s="27"/>
      <c r="C876" s="27"/>
      <c r="D876" s="27"/>
      <c r="E876" s="27"/>
      <c r="F876" s="27"/>
      <c r="G876" s="27"/>
      <c r="H876" s="27"/>
    </row>
    <row r="877" spans="1:8">
      <c r="A877" s="27"/>
      <c r="B877" s="27"/>
      <c r="C877" s="27"/>
      <c r="D877" s="27"/>
      <c r="E877" s="27"/>
      <c r="F877" s="27"/>
      <c r="G877" s="27"/>
      <c r="H877" s="27"/>
    </row>
    <row r="878" spans="1:8">
      <c r="A878" s="27"/>
      <c r="B878" s="27"/>
      <c r="C878" s="27"/>
      <c r="D878" s="27"/>
      <c r="E878" s="27"/>
      <c r="F878" s="27"/>
      <c r="G878" s="27"/>
      <c r="H878" s="27"/>
    </row>
    <row r="879" spans="1:8">
      <c r="A879" s="27"/>
      <c r="B879" s="27"/>
      <c r="C879" s="27"/>
      <c r="D879" s="27"/>
      <c r="E879" s="27"/>
      <c r="F879" s="27"/>
      <c r="G879" s="27"/>
      <c r="H879" s="27"/>
    </row>
    <row r="880" spans="1:8">
      <c r="A880" s="27"/>
      <c r="B880" s="27"/>
      <c r="C880" s="27"/>
      <c r="D880" s="27"/>
      <c r="E880" s="27"/>
      <c r="F880" s="27"/>
      <c r="G880" s="27"/>
      <c r="H880" s="27"/>
    </row>
    <row r="881" spans="1:8">
      <c r="A881" s="27"/>
      <c r="B881" s="27"/>
      <c r="C881" s="27"/>
      <c r="D881" s="27"/>
      <c r="E881" s="27"/>
      <c r="F881" s="27"/>
      <c r="G881" s="27"/>
      <c r="H881" s="27"/>
    </row>
    <row r="882" spans="1:8">
      <c r="A882" s="27"/>
      <c r="B882" s="27"/>
      <c r="C882" s="27"/>
      <c r="D882" s="27"/>
      <c r="E882" s="27"/>
      <c r="F882" s="27"/>
      <c r="G882" s="27"/>
      <c r="H882" s="27"/>
    </row>
    <row r="883" spans="1:8">
      <c r="A883" s="27"/>
      <c r="B883" s="27"/>
      <c r="C883" s="27"/>
      <c r="D883" s="27"/>
      <c r="E883" s="27"/>
      <c r="F883" s="27"/>
      <c r="G883" s="27"/>
      <c r="H883" s="27"/>
    </row>
    <row r="884" spans="1:8">
      <c r="A884" s="27"/>
      <c r="B884" s="27"/>
      <c r="C884" s="27"/>
      <c r="D884" s="27"/>
      <c r="E884" s="27"/>
      <c r="F884" s="27"/>
      <c r="G884" s="27"/>
      <c r="H884" s="27"/>
    </row>
    <row r="885" spans="1:8">
      <c r="A885" s="27"/>
      <c r="B885" s="27"/>
      <c r="C885" s="27"/>
      <c r="D885" s="27"/>
      <c r="E885" s="27"/>
      <c r="F885" s="27"/>
      <c r="G885" s="27"/>
      <c r="H885" s="27"/>
    </row>
    <row r="886" spans="1:8">
      <c r="A886" s="27"/>
      <c r="B886" s="27"/>
      <c r="C886" s="27"/>
      <c r="D886" s="27"/>
      <c r="E886" s="27"/>
      <c r="F886" s="27"/>
      <c r="G886" s="27"/>
      <c r="H886" s="27"/>
    </row>
    <row r="887" spans="1:8">
      <c r="A887" s="27"/>
      <c r="B887" s="27"/>
      <c r="C887" s="27"/>
      <c r="D887" s="27"/>
      <c r="E887" s="27"/>
      <c r="F887" s="27"/>
      <c r="G887" s="27"/>
      <c r="H887" s="27"/>
    </row>
    <row r="888" spans="1:8">
      <c r="A888" s="27"/>
      <c r="B888" s="27"/>
      <c r="C888" s="27"/>
      <c r="D888" s="27"/>
      <c r="E888" s="27"/>
      <c r="F888" s="27"/>
      <c r="G888" s="27"/>
      <c r="H888" s="27"/>
    </row>
    <row r="889" spans="1:8">
      <c r="A889" s="27"/>
      <c r="B889" s="27"/>
      <c r="C889" s="27"/>
      <c r="D889" s="27"/>
      <c r="E889" s="27"/>
      <c r="F889" s="27"/>
      <c r="G889" s="27"/>
      <c r="H889" s="27"/>
    </row>
    <row r="890" spans="1:8">
      <c r="A890" s="27"/>
      <c r="B890" s="27"/>
      <c r="C890" s="27"/>
      <c r="D890" s="27"/>
      <c r="E890" s="27"/>
      <c r="F890" s="27"/>
      <c r="G890" s="27"/>
      <c r="H890" s="27"/>
    </row>
    <row r="891" spans="1:8">
      <c r="A891" s="27"/>
      <c r="B891" s="27"/>
      <c r="C891" s="27"/>
      <c r="D891" s="27"/>
      <c r="E891" s="27"/>
      <c r="F891" s="27"/>
      <c r="G891" s="27"/>
      <c r="H891" s="27"/>
    </row>
    <row r="892" spans="1:8">
      <c r="A892" s="27"/>
      <c r="B892" s="27"/>
      <c r="C892" s="27"/>
      <c r="D892" s="27"/>
      <c r="E892" s="27"/>
      <c r="F892" s="27"/>
      <c r="G892" s="27"/>
      <c r="H892" s="27"/>
    </row>
    <row r="893" spans="1:8">
      <c r="A893" s="27"/>
      <c r="B893" s="27"/>
      <c r="C893" s="27"/>
      <c r="D893" s="27"/>
      <c r="E893" s="27"/>
      <c r="F893" s="27"/>
      <c r="G893" s="27"/>
      <c r="H893" s="27"/>
    </row>
    <row r="894" spans="1:8">
      <c r="A894" s="27"/>
      <c r="B894" s="27"/>
      <c r="C894" s="27"/>
      <c r="D894" s="27"/>
      <c r="E894" s="27"/>
      <c r="F894" s="27"/>
      <c r="G894" s="27"/>
      <c r="H894" s="27"/>
    </row>
    <row r="895" spans="1:8">
      <c r="A895" s="27"/>
      <c r="B895" s="27"/>
      <c r="C895" s="27"/>
      <c r="D895" s="27"/>
      <c r="E895" s="27"/>
      <c r="F895" s="27"/>
      <c r="G895" s="27"/>
      <c r="H895" s="27"/>
    </row>
    <row r="896" spans="1:8">
      <c r="A896" s="27"/>
      <c r="B896" s="27"/>
      <c r="C896" s="27"/>
      <c r="D896" s="27"/>
      <c r="E896" s="27"/>
      <c r="F896" s="27"/>
      <c r="G896" s="27"/>
      <c r="H896" s="27"/>
    </row>
    <row r="897" spans="1:8">
      <c r="A897" s="27"/>
      <c r="B897" s="27"/>
      <c r="C897" s="27"/>
      <c r="D897" s="27"/>
      <c r="E897" s="27"/>
      <c r="F897" s="27"/>
      <c r="G897" s="27"/>
      <c r="H897" s="27"/>
    </row>
    <row r="898" spans="1:8">
      <c r="A898" s="27"/>
      <c r="B898" s="27"/>
      <c r="C898" s="27"/>
      <c r="D898" s="27"/>
      <c r="E898" s="27"/>
      <c r="F898" s="27"/>
      <c r="G898" s="27"/>
      <c r="H898" s="27"/>
    </row>
    <row r="899" spans="1:8">
      <c r="A899" s="27"/>
      <c r="B899" s="27"/>
      <c r="C899" s="27"/>
      <c r="D899" s="27"/>
      <c r="E899" s="27"/>
      <c r="F899" s="27"/>
      <c r="G899" s="27"/>
      <c r="H899" s="27"/>
    </row>
    <row r="900" spans="1:8">
      <c r="A900" s="27"/>
      <c r="B900" s="27"/>
      <c r="C900" s="27"/>
      <c r="D900" s="27"/>
      <c r="E900" s="27"/>
      <c r="F900" s="27"/>
      <c r="G900" s="27"/>
      <c r="H900" s="27"/>
    </row>
    <row r="901" spans="1:8">
      <c r="A901" s="27"/>
      <c r="B901" s="27"/>
      <c r="C901" s="27"/>
      <c r="D901" s="27"/>
      <c r="E901" s="27"/>
      <c r="F901" s="27"/>
      <c r="G901" s="27"/>
      <c r="H901" s="27"/>
    </row>
    <row r="902" spans="1:8">
      <c r="A902" s="27"/>
      <c r="B902" s="27"/>
      <c r="C902" s="27"/>
      <c r="D902" s="27"/>
      <c r="E902" s="27"/>
      <c r="F902" s="27"/>
      <c r="G902" s="27"/>
      <c r="H902" s="27"/>
    </row>
    <row r="903" spans="1:8">
      <c r="A903" s="27"/>
      <c r="B903" s="27"/>
      <c r="C903" s="27"/>
      <c r="D903" s="27"/>
      <c r="E903" s="27"/>
      <c r="F903" s="27"/>
      <c r="G903" s="27"/>
      <c r="H903" s="27"/>
    </row>
    <row r="904" spans="1:8">
      <c r="A904" s="27"/>
      <c r="B904" s="27"/>
      <c r="C904" s="27"/>
      <c r="D904" s="27"/>
      <c r="E904" s="27"/>
      <c r="F904" s="27"/>
      <c r="G904" s="27"/>
      <c r="H904" s="27"/>
    </row>
    <row r="905" spans="1:8">
      <c r="A905" s="27"/>
      <c r="B905" s="27"/>
      <c r="C905" s="27"/>
      <c r="D905" s="27"/>
      <c r="E905" s="27"/>
      <c r="F905" s="27"/>
      <c r="G905" s="27"/>
      <c r="H905" s="27"/>
    </row>
    <row r="906" spans="1:8">
      <c r="A906" s="27"/>
      <c r="B906" s="27"/>
      <c r="C906" s="27"/>
      <c r="D906" s="27"/>
      <c r="E906" s="27"/>
      <c r="F906" s="27"/>
      <c r="G906" s="27"/>
      <c r="H906" s="27"/>
    </row>
    <row r="907" spans="1:8">
      <c r="A907" s="27"/>
      <c r="B907" s="27"/>
      <c r="C907" s="27"/>
      <c r="D907" s="27"/>
      <c r="E907" s="27"/>
      <c r="F907" s="27"/>
      <c r="G907" s="27"/>
      <c r="H907" s="27"/>
    </row>
    <row r="908" spans="1:8">
      <c r="A908" s="27"/>
      <c r="B908" s="27"/>
      <c r="C908" s="27"/>
      <c r="D908" s="27"/>
      <c r="E908" s="27"/>
      <c r="F908" s="27"/>
      <c r="G908" s="27"/>
      <c r="H908" s="27"/>
    </row>
    <row r="909" spans="1:8">
      <c r="A909" s="27"/>
      <c r="B909" s="27"/>
      <c r="C909" s="27"/>
      <c r="D909" s="27"/>
      <c r="E909" s="27"/>
      <c r="F909" s="27"/>
      <c r="G909" s="27"/>
      <c r="H909" s="27"/>
    </row>
    <row r="910" spans="1:8">
      <c r="A910" s="27"/>
      <c r="B910" s="27"/>
      <c r="C910" s="27"/>
      <c r="D910" s="27"/>
      <c r="E910" s="27"/>
      <c r="F910" s="27"/>
      <c r="G910" s="27"/>
      <c r="H910" s="27"/>
    </row>
    <row r="911" spans="1:8">
      <c r="A911" s="27"/>
      <c r="B911" s="27"/>
      <c r="C911" s="27"/>
      <c r="D911" s="27"/>
      <c r="E911" s="27"/>
      <c r="F911" s="27"/>
      <c r="G911" s="27"/>
      <c r="H911" s="27"/>
    </row>
    <row r="912" spans="1:8">
      <c r="A912" s="27"/>
      <c r="B912" s="27"/>
      <c r="C912" s="27"/>
      <c r="D912" s="27"/>
      <c r="E912" s="27"/>
      <c r="F912" s="27"/>
      <c r="G912" s="27"/>
      <c r="H912" s="27"/>
    </row>
    <row r="913" spans="1:8">
      <c r="A913" s="27"/>
      <c r="B913" s="27"/>
      <c r="C913" s="27"/>
      <c r="D913" s="27"/>
      <c r="E913" s="27"/>
      <c r="F913" s="27"/>
      <c r="G913" s="27"/>
      <c r="H913" s="27"/>
    </row>
    <row r="914" spans="1:8">
      <c r="A914" s="27"/>
      <c r="B914" s="27"/>
      <c r="C914" s="27"/>
      <c r="D914" s="27"/>
      <c r="E914" s="27"/>
      <c r="F914" s="27"/>
      <c r="G914" s="27"/>
      <c r="H914" s="27"/>
    </row>
    <row r="915" spans="1:8">
      <c r="A915" s="27"/>
      <c r="B915" s="27"/>
      <c r="C915" s="27"/>
      <c r="D915" s="27"/>
      <c r="E915" s="27"/>
      <c r="F915" s="27"/>
      <c r="G915" s="27"/>
      <c r="H915" s="27"/>
    </row>
    <row r="916" spans="1:8">
      <c r="A916" s="27"/>
      <c r="B916" s="27"/>
      <c r="C916" s="27"/>
      <c r="D916" s="27"/>
      <c r="E916" s="27"/>
      <c r="F916" s="27"/>
      <c r="G916" s="27"/>
      <c r="H916" s="27"/>
    </row>
    <row r="917" spans="1:8">
      <c r="A917" s="27"/>
      <c r="B917" s="27"/>
      <c r="C917" s="27"/>
      <c r="D917" s="27"/>
      <c r="E917" s="27"/>
      <c r="F917" s="27"/>
      <c r="G917" s="27"/>
      <c r="H917" s="27"/>
    </row>
    <row r="918" spans="1:8">
      <c r="A918" s="27"/>
      <c r="B918" s="27"/>
      <c r="C918" s="27"/>
      <c r="D918" s="27"/>
      <c r="E918" s="27"/>
      <c r="F918" s="27"/>
      <c r="G918" s="27"/>
      <c r="H918" s="27"/>
    </row>
    <row r="919" spans="1:8">
      <c r="A919" s="27"/>
      <c r="B919" s="27"/>
      <c r="C919" s="27"/>
      <c r="D919" s="27"/>
      <c r="E919" s="27"/>
      <c r="F919" s="27"/>
      <c r="G919" s="27"/>
      <c r="H919" s="27"/>
    </row>
    <row r="920" spans="1:8">
      <c r="A920" s="27"/>
      <c r="B920" s="27"/>
      <c r="C920" s="27"/>
      <c r="D920" s="27"/>
      <c r="E920" s="27"/>
      <c r="F920" s="27"/>
      <c r="G920" s="27"/>
      <c r="H920" s="27"/>
    </row>
    <row r="921" spans="1:8">
      <c r="A921" s="27"/>
      <c r="B921" s="27"/>
      <c r="C921" s="27"/>
      <c r="D921" s="27"/>
      <c r="E921" s="27"/>
      <c r="F921" s="27"/>
      <c r="G921" s="27"/>
      <c r="H921" s="27"/>
    </row>
    <row r="922" spans="1:8">
      <c r="A922" s="27"/>
      <c r="B922" s="27"/>
      <c r="C922" s="27"/>
      <c r="D922" s="27"/>
      <c r="E922" s="27"/>
      <c r="F922" s="27"/>
      <c r="G922" s="27"/>
      <c r="H922" s="27"/>
    </row>
    <row r="923" spans="1:8">
      <c r="A923" s="27"/>
      <c r="B923" s="27"/>
      <c r="C923" s="27"/>
      <c r="D923" s="27"/>
      <c r="E923" s="27"/>
      <c r="F923" s="27"/>
      <c r="G923" s="27"/>
      <c r="H923" s="27"/>
    </row>
    <row r="924" spans="1:8">
      <c r="A924" s="27"/>
      <c r="B924" s="27"/>
      <c r="C924" s="27"/>
      <c r="D924" s="27"/>
      <c r="E924" s="27"/>
      <c r="F924" s="27"/>
      <c r="G924" s="27"/>
      <c r="H924" s="27"/>
    </row>
    <row r="925" spans="1:8">
      <c r="A925" s="27"/>
      <c r="B925" s="27"/>
      <c r="C925" s="27"/>
      <c r="D925" s="27"/>
      <c r="E925" s="27"/>
      <c r="F925" s="27"/>
      <c r="G925" s="27"/>
      <c r="H925" s="27"/>
    </row>
    <row r="926" spans="1:8">
      <c r="A926" s="27"/>
      <c r="B926" s="27"/>
      <c r="C926" s="27"/>
      <c r="D926" s="27"/>
      <c r="E926" s="27"/>
      <c r="F926" s="27"/>
      <c r="G926" s="27"/>
      <c r="H926" s="27"/>
    </row>
    <row r="927" spans="1:8">
      <c r="A927" s="27"/>
      <c r="B927" s="27"/>
      <c r="C927" s="27"/>
      <c r="D927" s="27"/>
      <c r="E927" s="27"/>
      <c r="F927" s="27"/>
      <c r="G927" s="27"/>
      <c r="H927" s="27"/>
    </row>
    <row r="928" spans="1:8">
      <c r="A928" s="27"/>
      <c r="B928" s="27"/>
      <c r="C928" s="27"/>
      <c r="D928" s="27"/>
      <c r="E928" s="27"/>
      <c r="F928" s="27"/>
      <c r="G928" s="27"/>
      <c r="H928" s="27"/>
    </row>
    <row r="929" spans="1:8">
      <c r="A929" s="27"/>
      <c r="B929" s="27"/>
      <c r="C929" s="27"/>
      <c r="D929" s="27"/>
      <c r="E929" s="27"/>
      <c r="F929" s="27"/>
      <c r="G929" s="27"/>
      <c r="H929" s="27"/>
    </row>
    <row r="930" spans="1:8">
      <c r="A930" s="27"/>
      <c r="B930" s="27"/>
      <c r="C930" s="27"/>
      <c r="D930" s="27"/>
      <c r="E930" s="27"/>
      <c r="F930" s="27"/>
      <c r="G930" s="27"/>
      <c r="H930" s="27"/>
    </row>
    <row r="931" spans="1:8">
      <c r="A931" s="27"/>
      <c r="B931" s="27"/>
      <c r="C931" s="27"/>
      <c r="D931" s="27"/>
      <c r="E931" s="27"/>
      <c r="F931" s="27"/>
      <c r="G931" s="27"/>
      <c r="H931" s="27"/>
    </row>
    <row r="932" spans="1:8">
      <c r="A932" s="27"/>
      <c r="B932" s="27"/>
      <c r="C932" s="27"/>
      <c r="D932" s="27"/>
      <c r="E932" s="27"/>
      <c r="F932" s="27"/>
      <c r="G932" s="27"/>
      <c r="H932" s="27"/>
    </row>
    <row r="933" spans="1:8">
      <c r="A933" s="27"/>
      <c r="B933" s="27"/>
      <c r="C933" s="27"/>
      <c r="D933" s="27"/>
      <c r="E933" s="27"/>
      <c r="F933" s="27"/>
      <c r="G933" s="27"/>
      <c r="H933" s="27"/>
    </row>
    <row r="934" spans="1:8">
      <c r="A934" s="27"/>
      <c r="B934" s="27"/>
      <c r="C934" s="27"/>
      <c r="D934" s="27"/>
      <c r="E934" s="27"/>
      <c r="F934" s="27"/>
      <c r="G934" s="27"/>
      <c r="H934" s="27"/>
    </row>
    <row r="935" spans="1:8">
      <c r="A935" s="27"/>
      <c r="B935" s="27"/>
      <c r="C935" s="27"/>
      <c r="D935" s="27"/>
      <c r="E935" s="27"/>
      <c r="F935" s="27"/>
      <c r="G935" s="27"/>
      <c r="H935" s="27"/>
    </row>
    <row r="936" spans="1:8">
      <c r="A936" s="27"/>
      <c r="B936" s="27"/>
      <c r="C936" s="27"/>
      <c r="D936" s="27"/>
      <c r="E936" s="27"/>
      <c r="F936" s="27"/>
      <c r="G936" s="27"/>
      <c r="H936" s="27"/>
    </row>
    <row r="937" spans="1:8">
      <c r="A937" s="27"/>
      <c r="B937" s="27"/>
      <c r="C937" s="27"/>
      <c r="D937" s="27"/>
      <c r="E937" s="27"/>
      <c r="F937" s="27"/>
      <c r="G937" s="27"/>
      <c r="H937" s="27"/>
    </row>
    <row r="938" spans="1:8">
      <c r="A938" s="27"/>
      <c r="B938" s="27"/>
      <c r="C938" s="27"/>
      <c r="D938" s="27"/>
      <c r="E938" s="27"/>
      <c r="F938" s="27"/>
      <c r="G938" s="27"/>
      <c r="H938" s="27"/>
    </row>
    <row r="939" spans="1:8">
      <c r="A939" s="27"/>
      <c r="B939" s="27"/>
      <c r="C939" s="27"/>
      <c r="D939" s="27"/>
      <c r="E939" s="27"/>
      <c r="F939" s="27"/>
      <c r="G939" s="27"/>
      <c r="H939" s="27"/>
    </row>
    <row r="940" spans="1:8">
      <c r="A940" s="27"/>
      <c r="B940" s="27"/>
      <c r="C940" s="27"/>
      <c r="D940" s="27"/>
      <c r="E940" s="27"/>
      <c r="F940" s="27"/>
      <c r="G940" s="27"/>
      <c r="H940" s="27"/>
    </row>
    <row r="941" spans="1:8">
      <c r="A941" s="27"/>
      <c r="B941" s="27"/>
      <c r="C941" s="27"/>
      <c r="D941" s="27"/>
      <c r="E941" s="27"/>
      <c r="F941" s="27"/>
      <c r="G941" s="27"/>
      <c r="H941" s="27"/>
    </row>
    <row r="942" spans="1:8">
      <c r="A942" s="27"/>
      <c r="B942" s="27"/>
      <c r="C942" s="27"/>
      <c r="D942" s="27"/>
      <c r="E942" s="27"/>
      <c r="F942" s="27"/>
      <c r="G942" s="27"/>
      <c r="H942" s="27"/>
    </row>
    <row r="943" spans="1:8">
      <c r="A943" s="27"/>
      <c r="B943" s="27"/>
      <c r="C943" s="27"/>
      <c r="D943" s="27"/>
      <c r="E943" s="27"/>
      <c r="F943" s="27"/>
      <c r="G943" s="27"/>
      <c r="H943" s="27"/>
    </row>
    <row r="944" spans="1:8">
      <c r="A944" s="27"/>
      <c r="B944" s="27"/>
      <c r="C944" s="27"/>
      <c r="D944" s="27"/>
      <c r="E944" s="27"/>
      <c r="F944" s="27"/>
      <c r="G944" s="27"/>
      <c r="H944" s="27"/>
    </row>
    <row r="945" spans="1:8">
      <c r="A945" s="27"/>
      <c r="B945" s="27"/>
      <c r="C945" s="27"/>
      <c r="D945" s="27"/>
      <c r="E945" s="27"/>
      <c r="F945" s="27"/>
      <c r="G945" s="27"/>
      <c r="H945" s="27"/>
    </row>
    <row r="946" spans="1:8">
      <c r="A946" s="27"/>
      <c r="B946" s="27"/>
      <c r="C946" s="27"/>
      <c r="D946" s="27"/>
      <c r="E946" s="27"/>
      <c r="F946" s="27"/>
      <c r="G946" s="27"/>
      <c r="H946" s="27"/>
    </row>
    <row r="947" spans="1:8">
      <c r="A947" s="27"/>
      <c r="B947" s="27"/>
      <c r="C947" s="27"/>
      <c r="D947" s="27"/>
      <c r="E947" s="27"/>
      <c r="F947" s="27"/>
      <c r="G947" s="27"/>
      <c r="H947" s="27"/>
    </row>
    <row r="948" spans="1:8">
      <c r="A948" s="27"/>
      <c r="B948" s="27"/>
      <c r="C948" s="27"/>
      <c r="D948" s="27"/>
      <c r="E948" s="27"/>
      <c r="F948" s="27"/>
      <c r="G948" s="27"/>
      <c r="H948" s="27"/>
    </row>
    <row r="949" spans="1:8">
      <c r="A949" s="27"/>
      <c r="B949" s="27"/>
      <c r="C949" s="27"/>
      <c r="D949" s="27"/>
      <c r="E949" s="27"/>
      <c r="F949" s="27"/>
      <c r="G949" s="27"/>
      <c r="H949" s="27"/>
    </row>
    <row r="950" spans="1:8">
      <c r="A950" s="27"/>
      <c r="B950" s="27"/>
      <c r="C950" s="27"/>
      <c r="D950" s="27"/>
      <c r="E950" s="27"/>
      <c r="F950" s="27"/>
      <c r="G950" s="27"/>
      <c r="H950" s="27"/>
    </row>
    <row r="951" spans="1:8">
      <c r="A951" s="27"/>
      <c r="B951" s="27"/>
      <c r="C951" s="27"/>
      <c r="D951" s="27"/>
      <c r="E951" s="27"/>
      <c r="F951" s="27"/>
      <c r="G951" s="27"/>
      <c r="H951" s="27"/>
    </row>
    <row r="952" spans="1:8">
      <c r="A952" s="27"/>
      <c r="B952" s="27"/>
      <c r="C952" s="27"/>
      <c r="D952" s="27"/>
      <c r="E952" s="27"/>
      <c r="F952" s="27"/>
      <c r="G952" s="27"/>
      <c r="H952" s="27"/>
    </row>
    <row r="953" spans="1:8">
      <c r="A953" s="27"/>
      <c r="B953" s="27"/>
      <c r="C953" s="27"/>
      <c r="D953" s="27"/>
      <c r="E953" s="27"/>
      <c r="F953" s="27"/>
      <c r="G953" s="27"/>
      <c r="H953" s="27"/>
    </row>
    <row r="954" spans="1:8">
      <c r="A954" s="27"/>
      <c r="B954" s="27"/>
      <c r="C954" s="27"/>
      <c r="D954" s="27"/>
      <c r="E954" s="27"/>
      <c r="F954" s="27"/>
      <c r="G954" s="27"/>
      <c r="H954" s="27"/>
    </row>
    <row r="955" spans="1:8">
      <c r="A955" s="27"/>
      <c r="B955" s="27"/>
      <c r="C955" s="27"/>
      <c r="D955" s="27"/>
      <c r="E955" s="27"/>
      <c r="F955" s="27"/>
      <c r="G955" s="27"/>
      <c r="H955" s="27"/>
    </row>
    <row r="956" spans="1:8">
      <c r="A956" s="27"/>
      <c r="B956" s="27"/>
      <c r="C956" s="27"/>
      <c r="D956" s="27"/>
      <c r="E956" s="27"/>
      <c r="F956" s="27"/>
      <c r="G956" s="27"/>
      <c r="H956" s="27"/>
    </row>
    <row r="957" spans="1:8">
      <c r="A957" s="27"/>
      <c r="B957" s="27"/>
      <c r="C957" s="27"/>
      <c r="D957" s="27"/>
      <c r="E957" s="27"/>
      <c r="F957" s="27"/>
      <c r="G957" s="27"/>
      <c r="H957" s="27"/>
    </row>
    <row r="958" spans="1:8">
      <c r="A958" s="27"/>
      <c r="B958" s="27"/>
      <c r="C958" s="27"/>
      <c r="D958" s="27"/>
      <c r="E958" s="27"/>
      <c r="F958" s="27"/>
      <c r="G958" s="27"/>
      <c r="H958" s="27"/>
    </row>
    <row r="959" spans="1:8">
      <c r="A959" s="27"/>
      <c r="B959" s="27"/>
      <c r="C959" s="27"/>
      <c r="D959" s="27"/>
      <c r="E959" s="27"/>
      <c r="F959" s="27"/>
      <c r="G959" s="27"/>
      <c r="H959" s="27"/>
    </row>
    <row r="960" spans="1:8">
      <c r="A960" s="27"/>
      <c r="B960" s="27"/>
      <c r="C960" s="27"/>
      <c r="D960" s="27"/>
      <c r="E960" s="27"/>
      <c r="F960" s="27"/>
      <c r="G960" s="27"/>
      <c r="H960" s="27"/>
    </row>
    <row r="961" spans="1:8">
      <c r="A961" s="27"/>
      <c r="B961" s="27"/>
      <c r="C961" s="27"/>
      <c r="D961" s="27"/>
      <c r="E961" s="27"/>
      <c r="F961" s="27"/>
      <c r="G961" s="27"/>
      <c r="H961" s="27"/>
    </row>
    <row r="962" spans="1:8">
      <c r="A962" s="27"/>
      <c r="B962" s="27"/>
      <c r="C962" s="27"/>
      <c r="D962" s="27"/>
      <c r="E962" s="27"/>
      <c r="F962" s="27"/>
      <c r="G962" s="27"/>
      <c r="H962" s="27"/>
    </row>
    <row r="963" spans="1:8">
      <c r="A963" s="27"/>
      <c r="B963" s="27"/>
      <c r="C963" s="27"/>
      <c r="D963" s="27"/>
      <c r="E963" s="27"/>
      <c r="F963" s="27"/>
      <c r="G963" s="27"/>
      <c r="H963" s="27"/>
    </row>
    <row r="964" spans="1:8">
      <c r="A964" s="27"/>
      <c r="B964" s="27"/>
      <c r="C964" s="27"/>
      <c r="D964" s="27"/>
      <c r="E964" s="27"/>
      <c r="F964" s="27"/>
      <c r="G964" s="27"/>
      <c r="H964" s="27"/>
    </row>
    <row r="965" spans="1:8">
      <c r="A965" s="27"/>
      <c r="B965" s="27"/>
      <c r="C965" s="27"/>
      <c r="D965" s="27"/>
      <c r="E965" s="27"/>
      <c r="F965" s="27"/>
      <c r="G965" s="27"/>
      <c r="H965" s="27"/>
    </row>
    <row r="966" spans="1:8">
      <c r="A966" s="27"/>
      <c r="B966" s="27"/>
      <c r="C966" s="27"/>
      <c r="D966" s="27"/>
      <c r="E966" s="27"/>
      <c r="F966" s="27"/>
      <c r="G966" s="27"/>
      <c r="H966" s="27"/>
    </row>
    <row r="967" spans="1:8">
      <c r="A967" s="27"/>
      <c r="B967" s="27"/>
      <c r="C967" s="27"/>
      <c r="D967" s="27"/>
      <c r="E967" s="27"/>
      <c r="F967" s="27"/>
      <c r="G967" s="27"/>
      <c r="H967" s="27"/>
    </row>
    <row r="968" spans="1:8">
      <c r="A968" s="27"/>
      <c r="B968" s="27"/>
      <c r="C968" s="27"/>
      <c r="D968" s="27"/>
      <c r="E968" s="27"/>
      <c r="F968" s="27"/>
      <c r="G968" s="27"/>
      <c r="H968" s="27"/>
    </row>
    <row r="969" spans="1:8">
      <c r="A969" s="27"/>
      <c r="B969" s="27"/>
      <c r="C969" s="27"/>
      <c r="D969" s="27"/>
      <c r="E969" s="27"/>
      <c r="F969" s="27"/>
      <c r="G969" s="27"/>
      <c r="H969" s="27"/>
    </row>
    <row r="970" spans="1:8">
      <c r="A970" s="27"/>
      <c r="B970" s="27"/>
      <c r="C970" s="27"/>
      <c r="D970" s="27"/>
      <c r="E970" s="27"/>
      <c r="F970" s="27"/>
      <c r="G970" s="27"/>
      <c r="H970" s="27"/>
    </row>
    <row r="971" spans="1:8">
      <c r="A971" s="27"/>
      <c r="B971" s="27"/>
      <c r="C971" s="27"/>
      <c r="D971" s="27"/>
      <c r="E971" s="27"/>
      <c r="F971" s="27"/>
      <c r="G971" s="27"/>
      <c r="H971" s="27"/>
    </row>
    <row r="972" spans="1:8">
      <c r="A972" s="27"/>
      <c r="B972" s="27"/>
      <c r="C972" s="27"/>
      <c r="D972" s="27"/>
      <c r="E972" s="27"/>
      <c r="F972" s="27"/>
      <c r="G972" s="27"/>
      <c r="H972" s="27"/>
    </row>
    <row r="973" spans="1:8">
      <c r="A973" s="27"/>
      <c r="B973" s="27"/>
      <c r="C973" s="27"/>
      <c r="D973" s="27"/>
      <c r="E973" s="27"/>
      <c r="F973" s="27"/>
      <c r="G973" s="27"/>
      <c r="H973" s="27"/>
    </row>
    <row r="974" spans="1:8">
      <c r="A974" s="27"/>
      <c r="B974" s="27"/>
      <c r="C974" s="27"/>
      <c r="D974" s="27"/>
      <c r="E974" s="27"/>
      <c r="F974" s="27"/>
      <c r="G974" s="27"/>
      <c r="H974" s="27"/>
    </row>
    <row r="975" spans="1:8">
      <c r="A975" s="27"/>
      <c r="B975" s="27"/>
      <c r="C975" s="27"/>
      <c r="D975" s="27"/>
      <c r="E975" s="27"/>
      <c r="F975" s="27"/>
      <c r="G975" s="27"/>
      <c r="H975" s="27"/>
    </row>
    <row r="976" spans="1:8">
      <c r="A976" s="27"/>
      <c r="B976" s="27"/>
      <c r="C976" s="27"/>
      <c r="D976" s="27"/>
      <c r="E976" s="27"/>
      <c r="F976" s="27"/>
      <c r="G976" s="27"/>
      <c r="H976" s="27"/>
    </row>
    <row r="977" spans="1:8">
      <c r="A977" s="27"/>
      <c r="B977" s="27"/>
      <c r="C977" s="27"/>
      <c r="D977" s="27"/>
      <c r="E977" s="27"/>
      <c r="F977" s="27"/>
      <c r="G977" s="27"/>
      <c r="H977" s="27"/>
    </row>
    <row r="978" spans="1:8">
      <c r="A978" s="27"/>
      <c r="B978" s="27"/>
      <c r="C978" s="27"/>
      <c r="D978" s="27"/>
      <c r="E978" s="27"/>
      <c r="F978" s="27"/>
      <c r="G978" s="27"/>
      <c r="H978" s="27"/>
    </row>
    <row r="979" spans="1:8">
      <c r="A979" s="27"/>
      <c r="B979" s="27"/>
      <c r="C979" s="27"/>
      <c r="D979" s="27"/>
      <c r="E979" s="27"/>
      <c r="F979" s="27"/>
      <c r="G979" s="27"/>
      <c r="H979" s="27"/>
    </row>
    <row r="980" spans="1:8">
      <c r="A980" s="27"/>
      <c r="B980" s="27"/>
      <c r="C980" s="27"/>
      <c r="D980" s="27"/>
      <c r="E980" s="27"/>
      <c r="F980" s="27"/>
      <c r="G980" s="27"/>
      <c r="H980" s="27"/>
    </row>
    <row r="981" spans="1:8">
      <c r="A981" s="27"/>
      <c r="B981" s="27"/>
      <c r="C981" s="27"/>
      <c r="D981" s="27"/>
      <c r="E981" s="27"/>
      <c r="F981" s="27"/>
      <c r="G981" s="27"/>
      <c r="H981" s="27"/>
    </row>
    <row r="982" spans="1:8">
      <c r="A982" s="27"/>
      <c r="B982" s="27"/>
      <c r="C982" s="27"/>
      <c r="D982" s="27"/>
      <c r="E982" s="27"/>
      <c r="F982" s="27"/>
      <c r="G982" s="27"/>
      <c r="H982" s="27"/>
    </row>
    <row r="983" spans="1:8">
      <c r="A983" s="27"/>
      <c r="B983" s="27"/>
      <c r="C983" s="27"/>
      <c r="D983" s="27"/>
      <c r="E983" s="27"/>
      <c r="F983" s="27"/>
      <c r="G983" s="27"/>
      <c r="H983" s="27"/>
    </row>
    <row r="984" spans="1:8">
      <c r="A984" s="27"/>
      <c r="B984" s="27"/>
      <c r="C984" s="27"/>
      <c r="D984" s="27"/>
      <c r="E984" s="27"/>
      <c r="F984" s="27"/>
      <c r="G984" s="27"/>
      <c r="H984" s="27"/>
    </row>
    <row r="985" spans="1:8">
      <c r="A985" s="27"/>
      <c r="B985" s="27"/>
      <c r="C985" s="27"/>
      <c r="D985" s="27"/>
      <c r="E985" s="27"/>
      <c r="F985" s="27"/>
      <c r="G985" s="27"/>
      <c r="H985" s="27"/>
    </row>
    <row r="986" spans="1:8">
      <c r="A986" s="27"/>
      <c r="B986" s="27"/>
      <c r="C986" s="27"/>
      <c r="D986" s="27"/>
      <c r="E986" s="27"/>
      <c r="F986" s="27"/>
      <c r="G986" s="27"/>
      <c r="H986" s="27"/>
    </row>
    <row r="987" spans="1:8">
      <c r="A987" s="27"/>
      <c r="B987" s="27"/>
      <c r="C987" s="27"/>
      <c r="D987" s="27"/>
      <c r="E987" s="27"/>
      <c r="F987" s="27"/>
      <c r="G987" s="27"/>
      <c r="H987" s="27"/>
    </row>
    <row r="988" spans="1:8">
      <c r="A988" s="27"/>
      <c r="B988" s="27"/>
      <c r="C988" s="27"/>
      <c r="D988" s="27"/>
      <c r="E988" s="27"/>
      <c r="F988" s="27"/>
      <c r="G988" s="27"/>
      <c r="H988" s="27"/>
    </row>
    <row r="989" spans="1:8">
      <c r="A989" s="27"/>
      <c r="B989" s="27"/>
      <c r="C989" s="27"/>
      <c r="D989" s="27"/>
      <c r="E989" s="27"/>
      <c r="F989" s="27"/>
      <c r="G989" s="27"/>
      <c r="H989" s="27"/>
    </row>
    <row r="990" spans="1:8">
      <c r="A990" s="27"/>
      <c r="B990" s="27"/>
      <c r="C990" s="27"/>
      <c r="D990" s="27"/>
      <c r="E990" s="27"/>
      <c r="F990" s="27"/>
      <c r="G990" s="27"/>
      <c r="H990" s="27"/>
    </row>
    <row r="991" spans="1:8">
      <c r="A991" s="27"/>
      <c r="B991" s="27"/>
      <c r="C991" s="27"/>
      <c r="D991" s="27"/>
      <c r="E991" s="27"/>
      <c r="F991" s="27"/>
      <c r="G991" s="27"/>
      <c r="H991" s="27"/>
    </row>
    <row r="992" spans="1:8">
      <c r="A992" s="27"/>
      <c r="B992" s="27"/>
      <c r="C992" s="27"/>
      <c r="D992" s="27"/>
      <c r="E992" s="27"/>
      <c r="F992" s="27"/>
      <c r="G992" s="27"/>
      <c r="H992" s="27"/>
    </row>
    <row r="993" spans="1:8">
      <c r="A993" s="27"/>
      <c r="B993" s="27"/>
      <c r="C993" s="27"/>
      <c r="D993" s="27"/>
      <c r="E993" s="27"/>
      <c r="F993" s="27"/>
      <c r="G993" s="27"/>
      <c r="H993" s="27"/>
    </row>
    <row r="994" spans="1:8">
      <c r="A994" s="27"/>
      <c r="B994" s="27"/>
      <c r="C994" s="27"/>
      <c r="D994" s="27"/>
      <c r="E994" s="27"/>
      <c r="F994" s="27"/>
      <c r="G994" s="27"/>
      <c r="H994" s="27"/>
    </row>
    <row r="995" spans="1:8">
      <c r="A995" s="27"/>
      <c r="B995" s="27"/>
      <c r="C995" s="27"/>
      <c r="D995" s="27"/>
      <c r="E995" s="27"/>
      <c r="F995" s="27"/>
      <c r="G995" s="27"/>
      <c r="H995" s="27"/>
    </row>
    <row r="996" spans="1:8">
      <c r="A996" s="27"/>
      <c r="B996" s="27"/>
      <c r="C996" s="27"/>
      <c r="D996" s="27"/>
      <c r="E996" s="27"/>
      <c r="F996" s="27"/>
      <c r="G996" s="27"/>
      <c r="H996" s="27"/>
    </row>
    <row r="997" spans="1:8">
      <c r="A997" s="27"/>
      <c r="B997" s="27"/>
      <c r="C997" s="27"/>
      <c r="D997" s="27"/>
      <c r="E997" s="27"/>
      <c r="F997" s="27"/>
      <c r="G997" s="27"/>
      <c r="H997" s="27"/>
    </row>
    <row r="998" spans="1:8">
      <c r="A998" s="27"/>
      <c r="B998" s="27"/>
      <c r="C998" s="27"/>
      <c r="D998" s="27"/>
      <c r="E998" s="27"/>
      <c r="F998" s="27"/>
      <c r="G998" s="27"/>
      <c r="H998" s="27"/>
    </row>
    <row r="999" spans="1:8">
      <c r="A999" s="27"/>
      <c r="B999" s="27"/>
      <c r="C999" s="27"/>
      <c r="D999" s="27"/>
      <c r="E999" s="27"/>
      <c r="F999" s="27"/>
      <c r="G999" s="27"/>
      <c r="H999" s="27"/>
    </row>
    <row r="1000" spans="1:8">
      <c r="A1000" s="27"/>
      <c r="B1000" s="27"/>
      <c r="C1000" s="27"/>
      <c r="D1000" s="27"/>
      <c r="E1000" s="27"/>
      <c r="F1000" s="27"/>
      <c r="G1000" s="27"/>
      <c r="H1000" s="27"/>
    </row>
    <row r="1001" spans="1:8">
      <c r="A1001" s="27"/>
      <c r="B1001" s="27"/>
      <c r="C1001" s="27"/>
      <c r="D1001" s="27"/>
      <c r="E1001" s="27"/>
      <c r="F1001" s="27"/>
      <c r="G1001" s="27"/>
      <c r="H1001" s="27"/>
    </row>
    <row r="1002" spans="1:8">
      <c r="A1002" s="27"/>
      <c r="B1002" s="27"/>
      <c r="C1002" s="27"/>
      <c r="D1002" s="27"/>
      <c r="E1002" s="27"/>
      <c r="F1002" s="27"/>
      <c r="G1002" s="27"/>
      <c r="H1002" s="27"/>
    </row>
  </sheetData>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14"/>
  <sheetViews>
    <sheetView workbookViewId="0"/>
  </sheetViews>
  <sheetFormatPr defaultColWidth="12.5703125" defaultRowHeight="15.75" customHeight="1"/>
  <cols>
    <col min="1" max="1" width="35.42578125" customWidth="1"/>
    <col min="2" max="2" width="29.140625" customWidth="1"/>
    <col min="3" max="3" width="32.28515625" customWidth="1"/>
    <col min="4" max="4" width="24.42578125" customWidth="1"/>
    <col min="5" max="5" width="18.42578125" customWidth="1"/>
    <col min="6" max="6" width="35.42578125" customWidth="1"/>
  </cols>
  <sheetData>
    <row r="1" spans="1:26">
      <c r="A1" s="7" t="s">
        <v>1239</v>
      </c>
      <c r="B1" s="7" t="s">
        <v>99</v>
      </c>
      <c r="C1" s="27"/>
      <c r="D1" s="27"/>
      <c r="E1" s="27"/>
      <c r="F1" s="27"/>
      <c r="G1" s="27"/>
      <c r="H1" s="27"/>
      <c r="I1" s="27"/>
      <c r="J1" s="27"/>
      <c r="K1" s="27"/>
      <c r="L1" s="27"/>
      <c r="M1" s="27"/>
      <c r="N1" s="27"/>
      <c r="O1" s="27"/>
      <c r="P1" s="27"/>
      <c r="Q1" s="27"/>
      <c r="R1" s="27"/>
      <c r="S1" s="27"/>
      <c r="T1" s="27"/>
      <c r="U1" s="27"/>
      <c r="V1" s="27"/>
      <c r="W1" s="27"/>
      <c r="X1" s="27"/>
      <c r="Y1" s="27"/>
      <c r="Z1" s="27"/>
    </row>
    <row r="2" spans="1:26">
      <c r="A2" s="7" t="s">
        <v>1240</v>
      </c>
      <c r="B2" s="7" t="s">
        <v>10</v>
      </c>
      <c r="C2" s="27"/>
      <c r="D2" s="27"/>
      <c r="E2" s="27"/>
      <c r="F2" s="27"/>
      <c r="G2" s="27"/>
      <c r="H2" s="27"/>
      <c r="I2" s="27"/>
      <c r="J2" s="27"/>
      <c r="K2" s="27"/>
      <c r="L2" s="27"/>
      <c r="M2" s="27"/>
      <c r="N2" s="27"/>
      <c r="O2" s="27"/>
      <c r="P2" s="27"/>
      <c r="Q2" s="27"/>
      <c r="R2" s="27"/>
      <c r="S2" s="27"/>
      <c r="T2" s="27"/>
      <c r="U2" s="27"/>
      <c r="V2" s="27"/>
      <c r="W2" s="27"/>
      <c r="X2" s="27"/>
      <c r="Y2" s="27"/>
      <c r="Z2" s="27"/>
    </row>
    <row r="3" spans="1:26">
      <c r="A3" s="29" t="s">
        <v>1241</v>
      </c>
      <c r="B3" s="29">
        <v>26</v>
      </c>
      <c r="C3" s="30"/>
      <c r="D3" s="27"/>
      <c r="E3" s="27"/>
      <c r="F3" s="27"/>
      <c r="G3" s="27"/>
      <c r="H3" s="27"/>
      <c r="I3" s="27"/>
      <c r="J3" s="27"/>
      <c r="K3" s="27"/>
      <c r="L3" s="27"/>
      <c r="M3" s="27"/>
      <c r="N3" s="27"/>
      <c r="O3" s="27"/>
      <c r="P3" s="27"/>
      <c r="Q3" s="27"/>
      <c r="R3" s="27"/>
      <c r="S3" s="27"/>
      <c r="T3" s="27"/>
      <c r="U3" s="27"/>
      <c r="V3" s="27"/>
      <c r="W3" s="27"/>
      <c r="X3" s="27"/>
      <c r="Y3" s="27"/>
      <c r="Z3" s="27"/>
    </row>
    <row r="4" spans="1:26">
      <c r="A4" s="29" t="s">
        <v>1242</v>
      </c>
      <c r="B4" s="29"/>
      <c r="C4" s="30"/>
      <c r="D4" s="27"/>
      <c r="E4" s="27"/>
      <c r="F4" s="27"/>
      <c r="G4" s="27"/>
      <c r="H4" s="27"/>
      <c r="I4" s="27"/>
      <c r="J4" s="27"/>
      <c r="K4" s="27"/>
      <c r="L4" s="27"/>
      <c r="M4" s="27"/>
      <c r="N4" s="27"/>
      <c r="O4" s="27"/>
      <c r="P4" s="27"/>
      <c r="Q4" s="27"/>
      <c r="R4" s="27"/>
      <c r="S4" s="27"/>
      <c r="T4" s="27"/>
      <c r="U4" s="27"/>
      <c r="V4" s="27"/>
      <c r="W4" s="27"/>
      <c r="X4" s="27"/>
      <c r="Y4" s="27"/>
      <c r="Z4" s="27"/>
    </row>
    <row r="5" spans="1:26">
      <c r="A5" s="29" t="s">
        <v>1243</v>
      </c>
      <c r="B5" s="29"/>
      <c r="C5" s="30"/>
      <c r="D5" s="27"/>
      <c r="E5" s="27"/>
      <c r="F5" s="27"/>
      <c r="G5" s="27"/>
      <c r="H5" s="27"/>
      <c r="I5" s="27"/>
      <c r="J5" s="27"/>
      <c r="K5" s="27"/>
      <c r="L5" s="27"/>
      <c r="M5" s="27"/>
      <c r="N5" s="27"/>
      <c r="O5" s="27"/>
      <c r="P5" s="27"/>
      <c r="Q5" s="27"/>
      <c r="R5" s="27"/>
      <c r="S5" s="27"/>
      <c r="T5" s="27"/>
      <c r="U5" s="27"/>
      <c r="V5" s="27"/>
      <c r="W5" s="27"/>
      <c r="X5" s="27"/>
      <c r="Y5" s="27"/>
      <c r="Z5" s="27"/>
    </row>
    <row r="6" spans="1:26">
      <c r="A6" s="29" t="s">
        <v>1244</v>
      </c>
      <c r="B6" s="29"/>
      <c r="C6" s="30"/>
      <c r="D6" s="27"/>
      <c r="E6" s="27"/>
      <c r="F6" s="27"/>
      <c r="G6" s="27"/>
      <c r="H6" s="27"/>
      <c r="I6" s="27"/>
      <c r="J6" s="27"/>
      <c r="K6" s="27"/>
      <c r="L6" s="27"/>
      <c r="M6" s="27"/>
      <c r="N6" s="27"/>
      <c r="O6" s="27"/>
      <c r="P6" s="27"/>
      <c r="Q6" s="27"/>
      <c r="R6" s="27"/>
      <c r="S6" s="27"/>
      <c r="T6" s="27"/>
      <c r="U6" s="27"/>
      <c r="V6" s="27"/>
      <c r="W6" s="27"/>
      <c r="X6" s="27"/>
      <c r="Y6" s="27"/>
      <c r="Z6" s="27"/>
    </row>
    <row r="7" spans="1:26">
      <c r="A7" s="29" t="s">
        <v>1245</v>
      </c>
      <c r="B7" s="29"/>
      <c r="C7" s="30"/>
      <c r="D7" s="27"/>
      <c r="E7" s="27"/>
      <c r="F7" s="27"/>
      <c r="G7" s="27"/>
      <c r="H7" s="27"/>
      <c r="I7" s="27"/>
      <c r="J7" s="27"/>
      <c r="K7" s="27"/>
      <c r="L7" s="27"/>
      <c r="M7" s="27"/>
      <c r="N7" s="27"/>
      <c r="O7" s="27"/>
      <c r="P7" s="27"/>
      <c r="Q7" s="27"/>
      <c r="R7" s="27"/>
      <c r="S7" s="27"/>
      <c r="T7" s="27"/>
      <c r="U7" s="27"/>
      <c r="V7" s="27"/>
      <c r="W7" s="27"/>
      <c r="X7" s="27"/>
      <c r="Y7" s="27"/>
      <c r="Z7" s="27"/>
    </row>
    <row r="8" spans="1:26">
      <c r="A8" s="27"/>
      <c r="B8" s="27"/>
      <c r="C8" s="30"/>
      <c r="D8" s="27"/>
      <c r="E8" s="27"/>
      <c r="F8" s="27"/>
      <c r="G8" s="27"/>
      <c r="H8" s="27"/>
      <c r="I8" s="27"/>
      <c r="J8" s="27"/>
      <c r="K8" s="27"/>
      <c r="L8" s="27"/>
      <c r="M8" s="27"/>
      <c r="N8" s="27"/>
      <c r="O8" s="27"/>
      <c r="P8" s="27"/>
      <c r="Q8" s="27"/>
      <c r="R8" s="27"/>
      <c r="S8" s="27"/>
      <c r="T8" s="27"/>
      <c r="U8" s="27"/>
      <c r="V8" s="27"/>
      <c r="W8" s="27"/>
      <c r="X8" s="27"/>
      <c r="Y8" s="27"/>
      <c r="Z8" s="27"/>
    </row>
    <row r="9" spans="1:26">
      <c r="A9" s="7" t="s">
        <v>1246</v>
      </c>
      <c r="B9" s="7"/>
      <c r="C9" s="31"/>
      <c r="D9" s="7"/>
      <c r="E9" s="27"/>
      <c r="F9" s="27"/>
      <c r="G9" s="27"/>
      <c r="H9" s="27"/>
      <c r="I9" s="27"/>
      <c r="J9" s="27"/>
      <c r="K9" s="27"/>
      <c r="L9" s="27"/>
      <c r="M9" s="27"/>
      <c r="N9" s="27"/>
      <c r="O9" s="27"/>
      <c r="P9" s="27"/>
      <c r="Q9" s="27"/>
      <c r="R9" s="27"/>
      <c r="S9" s="27"/>
      <c r="T9" s="27"/>
      <c r="U9" s="27"/>
      <c r="V9" s="27"/>
      <c r="W9" s="27"/>
      <c r="X9" s="27"/>
      <c r="Y9" s="27"/>
      <c r="Z9" s="27"/>
    </row>
    <row r="10" spans="1:26">
      <c r="A10" s="7" t="s">
        <v>1247</v>
      </c>
      <c r="B10" s="7" t="s">
        <v>1248</v>
      </c>
      <c r="C10" s="7" t="s">
        <v>1249</v>
      </c>
      <c r="D10" s="7" t="s">
        <v>1250</v>
      </c>
      <c r="E10" s="27"/>
      <c r="F10" s="27"/>
      <c r="G10" s="27"/>
      <c r="H10" s="27"/>
      <c r="I10" s="27"/>
      <c r="J10" s="27"/>
      <c r="K10" s="27"/>
      <c r="L10" s="27"/>
      <c r="M10" s="27"/>
      <c r="N10" s="27"/>
      <c r="O10" s="27"/>
      <c r="P10" s="27"/>
      <c r="Q10" s="27"/>
      <c r="R10" s="27"/>
      <c r="S10" s="27"/>
      <c r="T10" s="27"/>
      <c r="U10" s="27"/>
      <c r="V10" s="27"/>
      <c r="W10" s="27"/>
      <c r="X10" s="27"/>
      <c r="Y10" s="27"/>
      <c r="Z10" s="27"/>
    </row>
    <row r="11" spans="1:26">
      <c r="A11" s="32" t="s">
        <v>953</v>
      </c>
      <c r="B11" s="32">
        <v>3</v>
      </c>
      <c r="C11" s="6">
        <v>0.12</v>
      </c>
      <c r="D11" s="32" t="s">
        <v>888</v>
      </c>
      <c r="E11" s="27"/>
      <c r="F11" s="27"/>
      <c r="G11" s="27"/>
      <c r="H11" s="27"/>
      <c r="I11" s="27"/>
      <c r="J11" s="27"/>
      <c r="K11" s="27"/>
      <c r="L11" s="27"/>
      <c r="M11" s="27"/>
      <c r="N11" s="27"/>
      <c r="O11" s="27"/>
      <c r="P11" s="27"/>
      <c r="Q11" s="27"/>
      <c r="R11" s="27"/>
      <c r="S11" s="27"/>
      <c r="T11" s="27"/>
      <c r="U11" s="27"/>
      <c r="V11" s="27"/>
      <c r="W11" s="27"/>
      <c r="X11" s="27"/>
      <c r="Y11" s="27"/>
      <c r="Z11" s="27"/>
    </row>
    <row r="12" spans="1:26">
      <c r="A12" s="32" t="s">
        <v>895</v>
      </c>
      <c r="B12" s="32">
        <v>3</v>
      </c>
      <c r="C12" s="6">
        <v>0.12</v>
      </c>
      <c r="D12" s="32" t="s">
        <v>76</v>
      </c>
      <c r="E12" s="27"/>
      <c r="F12" s="27"/>
      <c r="G12" s="27"/>
      <c r="H12" s="27"/>
      <c r="I12" s="27"/>
      <c r="J12" s="27"/>
      <c r="K12" s="27"/>
      <c r="L12" s="27"/>
      <c r="M12" s="27"/>
      <c r="N12" s="27"/>
      <c r="O12" s="27"/>
      <c r="P12" s="27"/>
      <c r="Q12" s="27"/>
      <c r="R12" s="27"/>
      <c r="S12" s="27"/>
      <c r="T12" s="27"/>
      <c r="U12" s="27"/>
      <c r="V12" s="27"/>
      <c r="W12" s="27"/>
      <c r="X12" s="27"/>
      <c r="Y12" s="27"/>
      <c r="Z12" s="27"/>
    </row>
    <row r="13" spans="1:26">
      <c r="A13" s="32" t="s">
        <v>894</v>
      </c>
      <c r="B13" s="32">
        <v>3</v>
      </c>
      <c r="C13" s="6">
        <v>0.12</v>
      </c>
      <c r="D13" s="32" t="s">
        <v>76</v>
      </c>
      <c r="E13" s="27"/>
      <c r="F13" s="27"/>
      <c r="G13" s="27"/>
      <c r="H13" s="27"/>
      <c r="I13" s="27"/>
      <c r="J13" s="27"/>
      <c r="K13" s="27"/>
      <c r="L13" s="27"/>
      <c r="M13" s="27"/>
      <c r="N13" s="27"/>
      <c r="O13" s="27"/>
      <c r="P13" s="27"/>
      <c r="Q13" s="27"/>
      <c r="R13" s="27"/>
      <c r="S13" s="27"/>
      <c r="T13" s="27"/>
      <c r="U13" s="27"/>
      <c r="V13" s="27"/>
      <c r="W13" s="27"/>
      <c r="X13" s="27"/>
      <c r="Y13" s="27"/>
      <c r="Z13" s="27"/>
    </row>
    <row r="14" spans="1:26">
      <c r="A14" s="32" t="s">
        <v>892</v>
      </c>
      <c r="B14" s="32">
        <v>3</v>
      </c>
      <c r="C14" s="6">
        <v>0.12</v>
      </c>
      <c r="D14" s="32" t="s">
        <v>85</v>
      </c>
      <c r="E14" s="27"/>
      <c r="F14" s="27"/>
      <c r="G14" s="27"/>
      <c r="H14" s="27"/>
      <c r="I14" s="27"/>
      <c r="J14" s="27"/>
      <c r="K14" s="27"/>
      <c r="L14" s="27"/>
      <c r="M14" s="27"/>
      <c r="N14" s="27"/>
      <c r="O14" s="27"/>
      <c r="P14" s="27"/>
      <c r="Q14" s="27"/>
      <c r="R14" s="27"/>
      <c r="S14" s="27"/>
      <c r="T14" s="27"/>
      <c r="U14" s="27"/>
      <c r="V14" s="27"/>
      <c r="W14" s="27"/>
      <c r="X14" s="27"/>
      <c r="Y14" s="27"/>
      <c r="Z14" s="27"/>
    </row>
    <row r="15" spans="1:26">
      <c r="A15" s="32" t="s">
        <v>1090</v>
      </c>
      <c r="B15" s="32">
        <v>2</v>
      </c>
      <c r="C15" s="6">
        <v>0.08</v>
      </c>
      <c r="D15" s="32" t="s">
        <v>76</v>
      </c>
      <c r="E15" s="27"/>
      <c r="F15" s="27"/>
      <c r="G15" s="27"/>
      <c r="H15" s="27"/>
      <c r="I15" s="27"/>
      <c r="J15" s="27"/>
      <c r="K15" s="27"/>
      <c r="L15" s="27"/>
      <c r="M15" s="27"/>
      <c r="N15" s="27"/>
      <c r="O15" s="27"/>
      <c r="P15" s="27"/>
      <c r="Q15" s="27"/>
      <c r="R15" s="27"/>
      <c r="S15" s="27"/>
      <c r="T15" s="27"/>
      <c r="U15" s="27"/>
      <c r="V15" s="27"/>
      <c r="W15" s="27"/>
      <c r="X15" s="27"/>
      <c r="Y15" s="27"/>
      <c r="Z15" s="27"/>
    </row>
    <row r="16" spans="1:26">
      <c r="A16" s="32" t="s">
        <v>979</v>
      </c>
      <c r="B16" s="32">
        <v>3</v>
      </c>
      <c r="C16" s="6">
        <v>0.12</v>
      </c>
      <c r="D16" s="32" t="s">
        <v>72</v>
      </c>
      <c r="E16" s="27"/>
      <c r="F16" s="27"/>
      <c r="G16" s="27"/>
      <c r="H16" s="27"/>
      <c r="I16" s="27"/>
      <c r="J16" s="27"/>
      <c r="K16" s="27"/>
      <c r="L16" s="27"/>
      <c r="M16" s="27"/>
      <c r="N16" s="27"/>
      <c r="O16" s="27"/>
      <c r="P16" s="27"/>
      <c r="Q16" s="27"/>
      <c r="R16" s="27"/>
      <c r="S16" s="27"/>
      <c r="T16" s="27"/>
      <c r="U16" s="27"/>
      <c r="V16" s="27"/>
      <c r="W16" s="27"/>
      <c r="X16" s="27"/>
      <c r="Y16" s="27"/>
      <c r="Z16" s="27"/>
    </row>
    <row r="17" spans="1:26">
      <c r="A17" s="32" t="s">
        <v>1052</v>
      </c>
      <c r="B17" s="32">
        <v>2</v>
      </c>
      <c r="C17" s="6">
        <v>0.08</v>
      </c>
      <c r="D17" s="32" t="s">
        <v>85</v>
      </c>
      <c r="E17" s="27"/>
      <c r="F17" s="27"/>
      <c r="G17" s="27"/>
      <c r="H17" s="27"/>
      <c r="I17" s="27"/>
      <c r="J17" s="27"/>
      <c r="K17" s="27"/>
      <c r="L17" s="27"/>
      <c r="M17" s="27"/>
      <c r="N17" s="27"/>
      <c r="O17" s="27"/>
      <c r="P17" s="27"/>
      <c r="Q17" s="27"/>
      <c r="R17" s="27"/>
      <c r="S17" s="27"/>
      <c r="T17" s="27"/>
      <c r="U17" s="27"/>
      <c r="V17" s="27"/>
      <c r="W17" s="27"/>
      <c r="X17" s="27"/>
      <c r="Y17" s="27"/>
      <c r="Z17" s="27"/>
    </row>
    <row r="18" spans="1:26" ht="15" customHeight="1">
      <c r="A18" s="32" t="s">
        <v>1078</v>
      </c>
      <c r="B18" s="32">
        <v>2</v>
      </c>
      <c r="C18" s="6">
        <v>0.08</v>
      </c>
      <c r="D18" s="32" t="s">
        <v>76</v>
      </c>
      <c r="E18" s="27"/>
      <c r="F18" s="27"/>
      <c r="G18" s="27"/>
      <c r="H18" s="27"/>
      <c r="I18" s="27"/>
      <c r="J18" s="27"/>
      <c r="K18" s="27"/>
      <c r="L18" s="27"/>
      <c r="M18" s="27"/>
      <c r="N18" s="27"/>
      <c r="O18" s="27"/>
      <c r="P18" s="27"/>
      <c r="Q18" s="27"/>
      <c r="R18" s="27"/>
      <c r="S18" s="27"/>
      <c r="T18" s="27"/>
      <c r="U18" s="27"/>
      <c r="V18" s="27"/>
      <c r="W18" s="27"/>
      <c r="X18" s="27"/>
      <c r="Y18" s="27"/>
      <c r="Z18" s="27"/>
    </row>
    <row r="19" spans="1:26">
      <c r="A19" s="32" t="s">
        <v>1047</v>
      </c>
      <c r="B19" s="32">
        <v>1</v>
      </c>
      <c r="C19" s="6">
        <v>0.04</v>
      </c>
      <c r="D19" s="32" t="s">
        <v>72</v>
      </c>
      <c r="E19" s="27"/>
      <c r="F19" s="27"/>
      <c r="G19" s="27"/>
      <c r="H19" s="27"/>
      <c r="I19" s="27"/>
      <c r="J19" s="27"/>
      <c r="K19" s="27"/>
      <c r="L19" s="27"/>
      <c r="M19" s="27"/>
      <c r="N19" s="27"/>
      <c r="O19" s="27"/>
      <c r="P19" s="27"/>
      <c r="Q19" s="27"/>
      <c r="R19" s="27"/>
      <c r="S19" s="27"/>
      <c r="T19" s="27"/>
      <c r="U19" s="27"/>
      <c r="V19" s="27"/>
      <c r="W19" s="27"/>
      <c r="X19" s="27"/>
      <c r="Y19" s="27"/>
      <c r="Z19" s="27"/>
    </row>
    <row r="20" spans="1:26">
      <c r="A20" s="32" t="s">
        <v>1099</v>
      </c>
      <c r="B20" s="32">
        <v>1</v>
      </c>
      <c r="C20" s="6">
        <v>0.04</v>
      </c>
      <c r="D20" s="32" t="s">
        <v>76</v>
      </c>
      <c r="E20" s="27"/>
      <c r="F20" s="27"/>
      <c r="G20" s="27"/>
      <c r="H20" s="27"/>
      <c r="I20" s="27"/>
      <c r="J20" s="27"/>
      <c r="K20" s="27"/>
      <c r="L20" s="27"/>
      <c r="M20" s="27"/>
      <c r="N20" s="27"/>
      <c r="O20" s="27"/>
      <c r="P20" s="27"/>
      <c r="Q20" s="27"/>
      <c r="R20" s="27"/>
      <c r="S20" s="27"/>
      <c r="T20" s="27"/>
      <c r="U20" s="27"/>
      <c r="V20" s="27"/>
      <c r="W20" s="27"/>
      <c r="X20" s="27"/>
      <c r="Y20" s="27"/>
      <c r="Z20" s="27"/>
    </row>
    <row r="21" spans="1:26">
      <c r="A21" s="32" t="s">
        <v>1020</v>
      </c>
      <c r="B21" s="32">
        <v>1</v>
      </c>
      <c r="C21" s="6">
        <v>0.04</v>
      </c>
      <c r="D21" s="32" t="s">
        <v>72</v>
      </c>
      <c r="E21" s="27"/>
      <c r="F21" s="27"/>
      <c r="G21" s="27"/>
      <c r="H21" s="27"/>
      <c r="I21" s="27"/>
      <c r="J21" s="27"/>
      <c r="K21" s="27"/>
      <c r="L21" s="27"/>
      <c r="M21" s="27"/>
      <c r="N21" s="27"/>
      <c r="O21" s="27"/>
      <c r="P21" s="27"/>
      <c r="Q21" s="27"/>
      <c r="R21" s="27"/>
      <c r="S21" s="27"/>
      <c r="T21" s="27"/>
      <c r="U21" s="27"/>
      <c r="V21" s="27"/>
      <c r="W21" s="27"/>
      <c r="X21" s="27"/>
      <c r="Y21" s="27"/>
      <c r="Z21" s="27"/>
    </row>
    <row r="22" spans="1:26">
      <c r="A22" s="32" t="s">
        <v>1035</v>
      </c>
      <c r="B22" s="32">
        <v>2</v>
      </c>
      <c r="C22" s="6">
        <v>0.08</v>
      </c>
      <c r="D22" s="32" t="s">
        <v>887</v>
      </c>
      <c r="E22" s="27"/>
      <c r="F22" s="27"/>
      <c r="G22" s="27"/>
      <c r="H22" s="27"/>
      <c r="I22" s="27"/>
      <c r="J22" s="27"/>
      <c r="K22" s="27"/>
      <c r="L22" s="27"/>
      <c r="M22" s="27"/>
      <c r="N22" s="27"/>
      <c r="O22" s="27"/>
      <c r="P22" s="27"/>
      <c r="Q22" s="27"/>
      <c r="R22" s="27"/>
      <c r="S22" s="27"/>
      <c r="T22" s="27"/>
      <c r="U22" s="27"/>
      <c r="V22" s="27"/>
      <c r="W22" s="27"/>
      <c r="X22" s="27"/>
      <c r="Y22" s="27"/>
      <c r="Z22" s="27"/>
    </row>
    <row r="23" spans="1:26">
      <c r="A23" s="35" t="s">
        <v>1251</v>
      </c>
      <c r="B23" s="35">
        <v>26</v>
      </c>
      <c r="C23" s="36">
        <v>1</v>
      </c>
      <c r="D23" s="35"/>
      <c r="E23" s="27"/>
      <c r="F23" s="27"/>
      <c r="G23" s="27"/>
      <c r="H23" s="27"/>
      <c r="I23" s="27"/>
      <c r="J23" s="27"/>
      <c r="K23" s="27"/>
      <c r="L23" s="27"/>
      <c r="M23" s="27"/>
      <c r="N23" s="27"/>
      <c r="O23" s="27"/>
      <c r="P23" s="27"/>
      <c r="Q23" s="27"/>
      <c r="R23" s="27"/>
      <c r="S23" s="27"/>
      <c r="T23" s="27"/>
      <c r="U23" s="27"/>
      <c r="V23" s="27"/>
      <c r="W23" s="27"/>
      <c r="X23" s="27"/>
      <c r="Y23" s="27"/>
      <c r="Z23" s="27"/>
    </row>
    <row r="24" spans="1:26">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spans="1:26">
      <c r="A25" s="7" t="s">
        <v>1252</v>
      </c>
      <c r="B25" s="7"/>
      <c r="C25" s="31"/>
      <c r="D25" s="33"/>
      <c r="E25" s="27"/>
      <c r="F25" s="27"/>
      <c r="G25" s="27"/>
      <c r="H25" s="27"/>
      <c r="I25" s="27"/>
      <c r="J25" s="27"/>
      <c r="K25" s="27"/>
      <c r="L25" s="27"/>
      <c r="M25" s="27"/>
      <c r="N25" s="27"/>
      <c r="O25" s="27"/>
      <c r="P25" s="27"/>
      <c r="Q25" s="27"/>
      <c r="R25" s="27"/>
      <c r="S25" s="27"/>
      <c r="T25" s="27"/>
      <c r="U25" s="27"/>
      <c r="V25" s="27"/>
      <c r="W25" s="27"/>
      <c r="X25" s="27"/>
      <c r="Y25" s="27"/>
      <c r="Z25" s="27"/>
    </row>
    <row r="26" spans="1:26">
      <c r="A26" s="7" t="s">
        <v>1250</v>
      </c>
      <c r="B26" s="7" t="s">
        <v>1248</v>
      </c>
      <c r="C26" s="7" t="s">
        <v>1253</v>
      </c>
      <c r="D26" s="33"/>
      <c r="E26" s="27"/>
      <c r="F26" s="27"/>
      <c r="G26" s="27"/>
      <c r="H26" s="27"/>
      <c r="I26" s="27"/>
      <c r="J26" s="27"/>
      <c r="K26" s="27"/>
      <c r="L26" s="27"/>
      <c r="M26" s="27"/>
      <c r="N26" s="27"/>
      <c r="O26" s="27"/>
      <c r="P26" s="27"/>
      <c r="Q26" s="27"/>
      <c r="R26" s="27"/>
      <c r="S26" s="27"/>
      <c r="T26" s="27"/>
      <c r="U26" s="27"/>
      <c r="V26" s="27"/>
      <c r="W26" s="27"/>
      <c r="X26" s="27"/>
      <c r="Y26" s="27"/>
      <c r="Z26" s="27"/>
    </row>
    <row r="27" spans="1:26">
      <c r="A27" s="32" t="s">
        <v>85</v>
      </c>
      <c r="B27" s="32">
        <v>7</v>
      </c>
      <c r="C27" s="6">
        <v>0.27</v>
      </c>
      <c r="D27" s="33"/>
      <c r="E27" s="27"/>
      <c r="F27" s="27"/>
      <c r="G27" s="27"/>
      <c r="H27" s="27"/>
      <c r="I27" s="27"/>
      <c r="J27" s="27"/>
      <c r="K27" s="27"/>
      <c r="L27" s="27"/>
      <c r="M27" s="27"/>
      <c r="N27" s="27"/>
      <c r="O27" s="27"/>
      <c r="P27" s="27"/>
      <c r="Q27" s="27"/>
      <c r="R27" s="27"/>
      <c r="S27" s="27"/>
      <c r="T27" s="27"/>
      <c r="U27" s="27"/>
      <c r="V27" s="27"/>
      <c r="W27" s="27"/>
      <c r="X27" s="27"/>
      <c r="Y27" s="27"/>
      <c r="Z27" s="27"/>
    </row>
    <row r="28" spans="1:26">
      <c r="A28" s="32" t="s">
        <v>76</v>
      </c>
      <c r="B28" s="32">
        <v>7</v>
      </c>
      <c r="C28" s="6">
        <v>0.27</v>
      </c>
      <c r="D28" s="33"/>
      <c r="E28" s="27"/>
      <c r="F28" s="27"/>
      <c r="G28" s="27"/>
      <c r="H28" s="27"/>
      <c r="I28" s="27"/>
      <c r="J28" s="27"/>
      <c r="K28" s="27"/>
      <c r="L28" s="27"/>
      <c r="M28" s="27"/>
      <c r="N28" s="27"/>
      <c r="O28" s="27"/>
      <c r="P28" s="27"/>
      <c r="Q28" s="27"/>
      <c r="R28" s="27"/>
      <c r="S28" s="27"/>
      <c r="T28" s="27"/>
      <c r="U28" s="27"/>
      <c r="V28" s="27"/>
      <c r="W28" s="27"/>
      <c r="X28" s="27"/>
      <c r="Y28" s="27"/>
      <c r="Z28" s="27"/>
    </row>
    <row r="29" spans="1:26">
      <c r="A29" s="32" t="s">
        <v>72</v>
      </c>
      <c r="B29" s="32">
        <v>4</v>
      </c>
      <c r="C29" s="6">
        <v>0.15</v>
      </c>
      <c r="D29" s="33"/>
      <c r="E29" s="27"/>
      <c r="F29" s="27"/>
      <c r="G29" s="27"/>
      <c r="H29" s="27"/>
      <c r="I29" s="27"/>
      <c r="J29" s="27"/>
      <c r="K29" s="27"/>
      <c r="L29" s="27"/>
      <c r="M29" s="27"/>
      <c r="N29" s="27"/>
      <c r="O29" s="27"/>
      <c r="P29" s="27"/>
      <c r="Q29" s="27"/>
      <c r="R29" s="27"/>
      <c r="S29" s="27"/>
      <c r="T29" s="27"/>
      <c r="U29" s="27"/>
      <c r="V29" s="27"/>
      <c r="W29" s="27"/>
      <c r="X29" s="27"/>
      <c r="Y29" s="27"/>
      <c r="Z29" s="27"/>
    </row>
    <row r="30" spans="1:26">
      <c r="A30" s="32" t="s">
        <v>887</v>
      </c>
      <c r="B30" s="32">
        <v>2</v>
      </c>
      <c r="C30" s="6">
        <v>0.08</v>
      </c>
      <c r="D30" s="33"/>
      <c r="E30" s="27"/>
      <c r="F30" s="27"/>
      <c r="G30" s="27"/>
      <c r="H30" s="27"/>
      <c r="I30" s="27"/>
      <c r="J30" s="27"/>
      <c r="K30" s="27"/>
      <c r="L30" s="27"/>
      <c r="M30" s="27"/>
      <c r="N30" s="27"/>
      <c r="O30" s="27"/>
      <c r="P30" s="27"/>
      <c r="Q30" s="27"/>
      <c r="R30" s="27"/>
      <c r="S30" s="27"/>
      <c r="T30" s="27"/>
      <c r="U30" s="27"/>
      <c r="V30" s="27"/>
      <c r="W30" s="27"/>
      <c r="X30" s="27"/>
      <c r="Y30" s="27"/>
      <c r="Z30" s="27"/>
    </row>
    <row r="31" spans="1:26">
      <c r="A31" s="32" t="s">
        <v>1254</v>
      </c>
      <c r="B31" s="32">
        <v>3</v>
      </c>
      <c r="C31" s="6">
        <v>0.12</v>
      </c>
      <c r="D31" s="33"/>
      <c r="E31" s="27"/>
      <c r="F31" s="27"/>
      <c r="G31" s="27"/>
      <c r="H31" s="27"/>
      <c r="I31" s="27"/>
      <c r="J31" s="27"/>
      <c r="K31" s="27"/>
      <c r="L31" s="27"/>
      <c r="M31" s="27"/>
      <c r="N31" s="27"/>
      <c r="O31" s="27"/>
      <c r="P31" s="27"/>
      <c r="Q31" s="27"/>
      <c r="R31" s="27"/>
      <c r="S31" s="27"/>
      <c r="T31" s="27"/>
      <c r="U31" s="27"/>
      <c r="V31" s="27"/>
      <c r="W31" s="27"/>
      <c r="X31" s="27"/>
      <c r="Y31" s="27"/>
      <c r="Z31" s="27"/>
    </row>
    <row r="32" spans="1:26">
      <c r="A32" s="33"/>
      <c r="B32" s="33"/>
      <c r="C32" s="34"/>
      <c r="D32" s="33"/>
      <c r="E32" s="33"/>
      <c r="F32" s="33"/>
      <c r="G32" s="33"/>
      <c r="H32" s="33"/>
      <c r="I32" s="33"/>
      <c r="J32" s="33"/>
      <c r="K32" s="33"/>
      <c r="L32" s="33"/>
      <c r="M32" s="33"/>
      <c r="N32" s="33"/>
      <c r="O32" s="33"/>
      <c r="P32" s="33"/>
      <c r="Q32" s="33"/>
      <c r="R32" s="33"/>
      <c r="S32" s="33"/>
      <c r="T32" s="33"/>
      <c r="U32" s="33"/>
      <c r="V32" s="33"/>
      <c r="W32" s="33"/>
      <c r="X32" s="33"/>
      <c r="Y32" s="33"/>
      <c r="Z32" s="33"/>
    </row>
    <row r="33" spans="1:26">
      <c r="A33" s="7" t="s">
        <v>1255</v>
      </c>
      <c r="B33" s="7"/>
      <c r="C33" s="31"/>
      <c r="D33" s="7"/>
      <c r="E33" s="31"/>
      <c r="F33" s="7"/>
      <c r="G33" s="27"/>
      <c r="H33" s="27"/>
      <c r="I33" s="27"/>
      <c r="J33" s="27"/>
      <c r="K33" s="27"/>
      <c r="L33" s="27"/>
      <c r="M33" s="27"/>
      <c r="N33" s="27"/>
      <c r="O33" s="27"/>
      <c r="P33" s="27"/>
      <c r="Q33" s="27"/>
      <c r="R33" s="27"/>
      <c r="S33" s="27"/>
      <c r="T33" s="27"/>
      <c r="U33" s="27"/>
      <c r="V33" s="27"/>
      <c r="W33" s="27"/>
      <c r="X33" s="27"/>
      <c r="Y33" s="27"/>
      <c r="Z33" s="27"/>
    </row>
    <row r="34" spans="1:26">
      <c r="A34" s="7" t="s">
        <v>1256</v>
      </c>
      <c r="B34" s="7" t="s">
        <v>1257</v>
      </c>
      <c r="C34" s="7" t="s">
        <v>1258</v>
      </c>
      <c r="D34" s="7" t="s">
        <v>1259</v>
      </c>
      <c r="E34" s="7" t="s">
        <v>1260</v>
      </c>
      <c r="F34" s="7" t="s">
        <v>59</v>
      </c>
      <c r="G34" s="27"/>
      <c r="H34" s="27"/>
      <c r="I34" s="27"/>
      <c r="J34" s="27"/>
      <c r="K34" s="27"/>
      <c r="L34" s="27"/>
      <c r="M34" s="27"/>
      <c r="N34" s="27"/>
      <c r="O34" s="27"/>
      <c r="P34" s="27"/>
      <c r="Q34" s="27"/>
      <c r="R34" s="27"/>
      <c r="S34" s="27"/>
      <c r="T34" s="27"/>
      <c r="U34" s="27"/>
      <c r="V34" s="27"/>
      <c r="W34" s="27"/>
      <c r="X34" s="27"/>
      <c r="Y34" s="27"/>
      <c r="Z34" s="27"/>
    </row>
    <row r="35" spans="1:26">
      <c r="A35" s="32">
        <v>1</v>
      </c>
      <c r="B35" s="32" t="s">
        <v>892</v>
      </c>
      <c r="C35" s="32" t="s">
        <v>1298</v>
      </c>
      <c r="D35" s="32">
        <v>3</v>
      </c>
      <c r="E35" s="32" t="s">
        <v>30</v>
      </c>
      <c r="F35" s="32" t="s">
        <v>1265</v>
      </c>
      <c r="G35" s="27"/>
      <c r="H35" s="27"/>
      <c r="I35" s="27"/>
      <c r="J35" s="27"/>
      <c r="K35" s="27"/>
      <c r="L35" s="27"/>
      <c r="M35" s="27"/>
      <c r="N35" s="27"/>
      <c r="O35" s="27"/>
      <c r="P35" s="27"/>
      <c r="Q35" s="27"/>
      <c r="R35" s="27"/>
      <c r="S35" s="27"/>
      <c r="T35" s="27"/>
      <c r="U35" s="27"/>
      <c r="V35" s="27"/>
      <c r="W35" s="27"/>
      <c r="X35" s="27"/>
      <c r="Y35" s="27"/>
      <c r="Z35" s="27"/>
    </row>
    <row r="36" spans="1:26">
      <c r="A36" s="32">
        <v>2</v>
      </c>
      <c r="B36" s="32" t="s">
        <v>894</v>
      </c>
      <c r="C36" s="32" t="s">
        <v>1299</v>
      </c>
      <c r="D36" s="32">
        <v>3</v>
      </c>
      <c r="E36" s="32" t="s">
        <v>30</v>
      </c>
      <c r="F36" s="32" t="s">
        <v>1265</v>
      </c>
      <c r="G36" s="27"/>
      <c r="H36" s="27"/>
      <c r="I36" s="27"/>
      <c r="J36" s="27"/>
      <c r="K36" s="27"/>
      <c r="L36" s="27"/>
      <c r="M36" s="27"/>
      <c r="N36" s="27"/>
      <c r="O36" s="27"/>
      <c r="P36" s="27"/>
      <c r="Q36" s="27"/>
      <c r="R36" s="27"/>
      <c r="S36" s="27"/>
      <c r="T36" s="27"/>
      <c r="U36" s="27"/>
      <c r="V36" s="27"/>
      <c r="W36" s="27"/>
      <c r="X36" s="27"/>
      <c r="Y36" s="27"/>
      <c r="Z36" s="27"/>
    </row>
    <row r="37" spans="1:26">
      <c r="A37" s="32">
        <v>3</v>
      </c>
      <c r="B37" s="32" t="s">
        <v>895</v>
      </c>
      <c r="C37" s="32" t="s">
        <v>1300</v>
      </c>
      <c r="D37" s="32">
        <v>3</v>
      </c>
      <c r="E37" s="32" t="s">
        <v>30</v>
      </c>
      <c r="F37" s="32" t="s">
        <v>1265</v>
      </c>
      <c r="G37" s="27"/>
      <c r="H37" s="27"/>
      <c r="I37" s="27"/>
      <c r="J37" s="27"/>
      <c r="K37" s="27"/>
      <c r="L37" s="27"/>
      <c r="M37" s="27"/>
      <c r="N37" s="27"/>
      <c r="O37" s="27"/>
      <c r="P37" s="27"/>
      <c r="Q37" s="27"/>
      <c r="R37" s="27"/>
      <c r="S37" s="27"/>
      <c r="T37" s="27"/>
      <c r="U37" s="27"/>
      <c r="V37" s="27"/>
      <c r="W37" s="27"/>
      <c r="X37" s="27"/>
      <c r="Y37" s="27"/>
      <c r="Z37" s="27"/>
    </row>
    <row r="38" spans="1:26">
      <c r="A38" s="32">
        <v>4</v>
      </c>
      <c r="B38" s="32" t="s">
        <v>1052</v>
      </c>
      <c r="C38" s="32" t="s">
        <v>1301</v>
      </c>
      <c r="D38" s="32">
        <v>2</v>
      </c>
      <c r="E38" s="32" t="s">
        <v>30</v>
      </c>
      <c r="F38" s="32" t="s">
        <v>9</v>
      </c>
      <c r="G38" s="27"/>
      <c r="H38" s="27"/>
      <c r="I38" s="27"/>
      <c r="J38" s="27"/>
      <c r="K38" s="27"/>
      <c r="L38" s="27"/>
      <c r="M38" s="27"/>
      <c r="N38" s="27"/>
      <c r="O38" s="27"/>
      <c r="P38" s="27"/>
      <c r="Q38" s="27"/>
      <c r="R38" s="27"/>
      <c r="S38" s="27"/>
      <c r="T38" s="27"/>
      <c r="U38" s="27"/>
      <c r="V38" s="27"/>
      <c r="W38" s="27"/>
      <c r="X38" s="27"/>
      <c r="Y38" s="27"/>
      <c r="Z38" s="27"/>
    </row>
    <row r="39" spans="1:26">
      <c r="A39" s="32">
        <v>5</v>
      </c>
      <c r="B39" s="32" t="s">
        <v>1090</v>
      </c>
      <c r="C39" s="32" t="s">
        <v>1302</v>
      </c>
      <c r="D39" s="32">
        <v>2</v>
      </c>
      <c r="E39" s="32" t="s">
        <v>30</v>
      </c>
      <c r="F39" s="32" t="s">
        <v>1303</v>
      </c>
      <c r="G39" s="27"/>
      <c r="H39" s="27"/>
      <c r="I39" s="27"/>
      <c r="J39" s="27"/>
      <c r="K39" s="27"/>
      <c r="L39" s="27"/>
      <c r="M39" s="27"/>
      <c r="N39" s="27"/>
      <c r="O39" s="27"/>
      <c r="P39" s="27"/>
      <c r="Q39" s="27"/>
      <c r="R39" s="27"/>
      <c r="S39" s="27"/>
      <c r="T39" s="27"/>
      <c r="U39" s="27"/>
      <c r="V39" s="27"/>
      <c r="W39" s="27"/>
      <c r="X39" s="27"/>
      <c r="Y39" s="27"/>
      <c r="Z39" s="27"/>
    </row>
    <row r="40" spans="1:26">
      <c r="A40" s="32">
        <v>6</v>
      </c>
      <c r="B40" s="32" t="s">
        <v>1078</v>
      </c>
      <c r="C40" s="32" t="s">
        <v>1304</v>
      </c>
      <c r="D40" s="32">
        <v>2</v>
      </c>
      <c r="E40" s="32" t="s">
        <v>30</v>
      </c>
      <c r="F40" s="32" t="s">
        <v>9</v>
      </c>
      <c r="G40" s="27"/>
      <c r="H40" s="27"/>
      <c r="I40" s="27"/>
      <c r="J40" s="27"/>
      <c r="K40" s="27"/>
      <c r="L40" s="27"/>
      <c r="M40" s="27"/>
      <c r="N40" s="27"/>
      <c r="O40" s="27"/>
      <c r="P40" s="27"/>
      <c r="Q40" s="27"/>
      <c r="R40" s="27"/>
      <c r="S40" s="27"/>
      <c r="T40" s="27"/>
      <c r="U40" s="27"/>
      <c r="V40" s="27"/>
      <c r="W40" s="27"/>
      <c r="X40" s="27"/>
      <c r="Y40" s="27"/>
      <c r="Z40" s="27"/>
    </row>
    <row r="41" spans="1:26">
      <c r="A41" s="32">
        <v>7</v>
      </c>
      <c r="B41" s="32" t="s">
        <v>979</v>
      </c>
      <c r="C41" s="32" t="s">
        <v>1305</v>
      </c>
      <c r="D41" s="32">
        <v>3</v>
      </c>
      <c r="E41" s="27" t="s">
        <v>1263</v>
      </c>
      <c r="F41" s="27" t="s">
        <v>1264</v>
      </c>
      <c r="G41" s="27"/>
      <c r="H41" s="27"/>
      <c r="I41" s="27"/>
      <c r="J41" s="27"/>
      <c r="K41" s="27"/>
      <c r="L41" s="27"/>
      <c r="M41" s="27"/>
      <c r="N41" s="27"/>
      <c r="O41" s="27"/>
      <c r="P41" s="27"/>
      <c r="Q41" s="27"/>
      <c r="R41" s="27"/>
      <c r="S41" s="27"/>
      <c r="T41" s="27"/>
      <c r="U41" s="27"/>
      <c r="V41" s="27"/>
      <c r="W41" s="27"/>
      <c r="X41" s="27"/>
      <c r="Y41" s="27"/>
      <c r="Z41" s="27"/>
    </row>
    <row r="42" spans="1:26">
      <c r="A42" s="33"/>
      <c r="B42" s="33"/>
      <c r="C42" s="34"/>
      <c r="D42" s="33"/>
      <c r="E42" s="33"/>
      <c r="F42" s="33"/>
      <c r="G42" s="33"/>
      <c r="H42" s="33"/>
      <c r="I42" s="33"/>
      <c r="J42" s="33"/>
      <c r="K42" s="33"/>
      <c r="L42" s="33"/>
      <c r="M42" s="33"/>
      <c r="N42" s="33"/>
      <c r="O42" s="33"/>
      <c r="P42" s="33"/>
      <c r="Q42" s="33"/>
      <c r="R42" s="33"/>
      <c r="S42" s="33"/>
      <c r="T42" s="33"/>
      <c r="U42" s="33"/>
      <c r="V42" s="33"/>
      <c r="W42" s="33"/>
      <c r="X42" s="33"/>
      <c r="Y42" s="33"/>
      <c r="Z42" s="33"/>
    </row>
    <row r="43" spans="1:26">
      <c r="A43" s="7" t="s">
        <v>1266</v>
      </c>
      <c r="B43" s="7"/>
      <c r="C43" s="31"/>
      <c r="D43" s="7"/>
      <c r="E43" s="7"/>
      <c r="F43" s="27"/>
      <c r="G43" s="27"/>
      <c r="H43" s="27"/>
      <c r="I43" s="27"/>
      <c r="J43" s="27"/>
      <c r="K43" s="27"/>
      <c r="L43" s="27"/>
      <c r="M43" s="27"/>
      <c r="N43" s="27"/>
      <c r="O43" s="27"/>
      <c r="P43" s="27"/>
      <c r="Q43" s="27"/>
      <c r="R43" s="27"/>
      <c r="S43" s="27"/>
      <c r="T43" s="27"/>
      <c r="U43" s="27"/>
      <c r="V43" s="27"/>
      <c r="W43" s="27"/>
      <c r="X43" s="27"/>
      <c r="Y43" s="27"/>
      <c r="Z43" s="27"/>
    </row>
    <row r="44" spans="1:26">
      <c r="A44" s="7" t="s">
        <v>1267</v>
      </c>
      <c r="B44" s="7" t="s">
        <v>1247</v>
      </c>
      <c r="C44" s="7" t="s">
        <v>1248</v>
      </c>
      <c r="D44" s="7" t="s">
        <v>1268</v>
      </c>
      <c r="E44" s="7" t="s">
        <v>1269</v>
      </c>
      <c r="F44" s="27"/>
      <c r="G44" s="27"/>
      <c r="H44" s="27"/>
      <c r="I44" s="27"/>
      <c r="J44" s="27"/>
      <c r="K44" s="27"/>
      <c r="L44" s="27"/>
      <c r="M44" s="27"/>
      <c r="N44" s="27"/>
      <c r="O44" s="27"/>
      <c r="P44" s="27"/>
      <c r="Q44" s="27"/>
      <c r="R44" s="27"/>
      <c r="S44" s="27"/>
      <c r="T44" s="27"/>
      <c r="U44" s="27"/>
      <c r="V44" s="27"/>
      <c r="W44" s="27"/>
      <c r="X44" s="27"/>
      <c r="Y44" s="27"/>
      <c r="Z44" s="27"/>
    </row>
    <row r="45" spans="1:26">
      <c r="A45" s="32" t="s">
        <v>1265</v>
      </c>
      <c r="B45" s="32" t="s">
        <v>892</v>
      </c>
      <c r="C45" s="32">
        <v>3</v>
      </c>
      <c r="D45" s="32" t="s">
        <v>1306</v>
      </c>
      <c r="E45" s="32" t="s">
        <v>30</v>
      </c>
      <c r="F45" s="27"/>
      <c r="G45" s="27"/>
      <c r="H45" s="27"/>
      <c r="I45" s="27"/>
      <c r="J45" s="27"/>
      <c r="K45" s="27"/>
      <c r="L45" s="27"/>
      <c r="M45" s="27"/>
      <c r="N45" s="27"/>
      <c r="O45" s="27"/>
      <c r="P45" s="27"/>
      <c r="Q45" s="27"/>
      <c r="R45" s="27"/>
      <c r="S45" s="27"/>
      <c r="T45" s="27"/>
      <c r="U45" s="27"/>
      <c r="V45" s="27"/>
      <c r="W45" s="27"/>
      <c r="X45" s="27"/>
      <c r="Y45" s="27"/>
      <c r="Z45" s="27"/>
    </row>
    <row r="46" spans="1:26">
      <c r="A46" s="32" t="s">
        <v>1265</v>
      </c>
      <c r="B46" s="32" t="s">
        <v>894</v>
      </c>
      <c r="C46" s="32">
        <v>3</v>
      </c>
      <c r="D46" s="32" t="s">
        <v>1307</v>
      </c>
      <c r="E46" s="32" t="s">
        <v>30</v>
      </c>
      <c r="F46" s="27"/>
      <c r="G46" s="27"/>
      <c r="H46" s="27"/>
      <c r="I46" s="27"/>
      <c r="J46" s="27"/>
      <c r="K46" s="27"/>
      <c r="L46" s="27"/>
      <c r="M46" s="27"/>
      <c r="N46" s="27"/>
      <c r="O46" s="27"/>
      <c r="P46" s="27"/>
      <c r="Q46" s="27"/>
      <c r="R46" s="27"/>
      <c r="S46" s="27"/>
      <c r="T46" s="27"/>
      <c r="U46" s="27"/>
      <c r="V46" s="27"/>
      <c r="W46" s="27"/>
      <c r="X46" s="27"/>
      <c r="Y46" s="27"/>
      <c r="Z46" s="27"/>
    </row>
    <row r="47" spans="1:26">
      <c r="A47" s="32" t="s">
        <v>1265</v>
      </c>
      <c r="B47" s="32" t="s">
        <v>895</v>
      </c>
      <c r="C47" s="32">
        <v>3</v>
      </c>
      <c r="D47" s="32" t="s">
        <v>1308</v>
      </c>
      <c r="E47" s="32" t="s">
        <v>30</v>
      </c>
      <c r="F47" s="27"/>
      <c r="G47" s="27"/>
      <c r="H47" s="27"/>
      <c r="I47" s="27"/>
      <c r="J47" s="27"/>
      <c r="K47" s="27"/>
      <c r="L47" s="27"/>
      <c r="M47" s="27"/>
      <c r="N47" s="27"/>
      <c r="O47" s="27"/>
      <c r="P47" s="27"/>
      <c r="Q47" s="27"/>
      <c r="R47" s="27"/>
      <c r="S47" s="27"/>
      <c r="T47" s="27"/>
      <c r="U47" s="27"/>
      <c r="V47" s="27"/>
      <c r="W47" s="27"/>
      <c r="X47" s="27"/>
      <c r="Y47" s="27"/>
      <c r="Z47" s="27"/>
    </row>
    <row r="48" spans="1:26">
      <c r="A48" s="32" t="s">
        <v>70</v>
      </c>
      <c r="B48" s="32" t="s">
        <v>1052</v>
      </c>
      <c r="C48" s="32">
        <v>2</v>
      </c>
      <c r="D48" s="32" t="s">
        <v>1309</v>
      </c>
      <c r="E48" s="32" t="s">
        <v>30</v>
      </c>
      <c r="F48" s="27"/>
      <c r="G48" s="27"/>
      <c r="H48" s="27"/>
      <c r="I48" s="27"/>
      <c r="J48" s="27"/>
      <c r="K48" s="27"/>
      <c r="L48" s="27"/>
      <c r="M48" s="27"/>
      <c r="N48" s="27"/>
      <c r="O48" s="27"/>
      <c r="P48" s="27"/>
      <c r="Q48" s="27"/>
      <c r="R48" s="27"/>
      <c r="S48" s="27"/>
      <c r="T48" s="27"/>
      <c r="U48" s="27"/>
      <c r="V48" s="27"/>
      <c r="W48" s="27"/>
      <c r="X48" s="27"/>
      <c r="Y48" s="27"/>
      <c r="Z48" s="27"/>
    </row>
    <row r="49" spans="1:26">
      <c r="A49" s="32" t="s">
        <v>70</v>
      </c>
      <c r="B49" s="32" t="s">
        <v>1078</v>
      </c>
      <c r="C49" s="32">
        <v>2</v>
      </c>
      <c r="D49" s="32" t="s">
        <v>1310</v>
      </c>
      <c r="E49" s="32" t="s">
        <v>30</v>
      </c>
      <c r="F49" s="27"/>
      <c r="G49" s="27"/>
      <c r="H49" s="27"/>
      <c r="I49" s="27"/>
      <c r="J49" s="27"/>
      <c r="K49" s="27"/>
      <c r="L49" s="27"/>
      <c r="M49" s="27"/>
      <c r="N49" s="27"/>
      <c r="O49" s="27"/>
      <c r="P49" s="27"/>
      <c r="Q49" s="27"/>
      <c r="R49" s="27"/>
      <c r="S49" s="27"/>
      <c r="T49" s="27"/>
      <c r="U49" s="27"/>
      <c r="V49" s="27"/>
      <c r="W49" s="27"/>
      <c r="X49" s="27"/>
      <c r="Y49" s="27"/>
      <c r="Z49" s="27"/>
    </row>
    <row r="50" spans="1:26">
      <c r="A50" s="32" t="s">
        <v>1303</v>
      </c>
      <c r="B50" s="32" t="s">
        <v>1090</v>
      </c>
      <c r="C50" s="32">
        <v>2</v>
      </c>
      <c r="D50" s="32" t="s">
        <v>1311</v>
      </c>
      <c r="E50" s="32" t="s">
        <v>30</v>
      </c>
      <c r="F50" s="27"/>
      <c r="G50" s="27"/>
      <c r="H50" s="27"/>
      <c r="I50" s="27"/>
      <c r="J50" s="27"/>
      <c r="K50" s="27"/>
      <c r="L50" s="27"/>
      <c r="M50" s="27"/>
      <c r="N50" s="27"/>
      <c r="O50" s="27"/>
      <c r="P50" s="27"/>
      <c r="Q50" s="27"/>
      <c r="R50" s="27"/>
      <c r="S50" s="27"/>
      <c r="T50" s="27"/>
      <c r="U50" s="27"/>
      <c r="V50" s="27"/>
      <c r="W50" s="27"/>
      <c r="X50" s="27"/>
      <c r="Y50" s="27"/>
      <c r="Z50" s="27"/>
    </row>
    <row r="51" spans="1:26">
      <c r="A51" s="32" t="s">
        <v>1264</v>
      </c>
      <c r="B51" s="32" t="s">
        <v>979</v>
      </c>
      <c r="C51" s="32">
        <v>3</v>
      </c>
      <c r="D51" s="32" t="s">
        <v>1312</v>
      </c>
      <c r="E51" s="32" t="s">
        <v>1263</v>
      </c>
      <c r="F51" s="27"/>
      <c r="G51" s="27"/>
      <c r="H51" s="27"/>
      <c r="I51" s="27"/>
      <c r="J51" s="27"/>
      <c r="K51" s="27"/>
      <c r="L51" s="27"/>
      <c r="M51" s="27"/>
      <c r="N51" s="27"/>
      <c r="O51" s="27"/>
      <c r="P51" s="27"/>
      <c r="Q51" s="27"/>
      <c r="R51" s="27"/>
      <c r="S51" s="27"/>
      <c r="T51" s="27"/>
      <c r="U51" s="27"/>
      <c r="V51" s="27"/>
      <c r="W51" s="27"/>
      <c r="X51" s="27"/>
      <c r="Y51" s="27"/>
      <c r="Z51" s="27"/>
    </row>
    <row r="52" spans="1:26">
      <c r="A52" s="32" t="s">
        <v>1313</v>
      </c>
      <c r="B52" s="32" t="s">
        <v>1047</v>
      </c>
      <c r="C52" s="32">
        <v>1</v>
      </c>
      <c r="D52" s="32" t="s">
        <v>1314</v>
      </c>
      <c r="E52" s="32" t="s">
        <v>1263</v>
      </c>
      <c r="F52" s="33"/>
      <c r="G52" s="33"/>
      <c r="H52" s="33"/>
      <c r="I52" s="33"/>
      <c r="J52" s="33"/>
      <c r="K52" s="33"/>
      <c r="L52" s="33"/>
      <c r="M52" s="33"/>
      <c r="N52" s="33"/>
      <c r="O52" s="33"/>
      <c r="P52" s="33"/>
      <c r="Q52" s="33"/>
      <c r="R52" s="33"/>
      <c r="S52" s="33"/>
      <c r="T52" s="33"/>
      <c r="U52" s="33"/>
      <c r="V52" s="33"/>
      <c r="W52" s="33"/>
      <c r="X52" s="33"/>
      <c r="Y52" s="33"/>
      <c r="Z52" s="33"/>
    </row>
    <row r="53" spans="1:26">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spans="1:26">
      <c r="A54" s="7" t="s">
        <v>1276</v>
      </c>
      <c r="B54" s="7"/>
      <c r="C54" s="34"/>
      <c r="D54" s="33"/>
      <c r="E54" s="27"/>
      <c r="F54" s="27"/>
      <c r="G54" s="27"/>
      <c r="H54" s="27"/>
      <c r="I54" s="27"/>
      <c r="J54" s="27"/>
      <c r="K54" s="27"/>
      <c r="L54" s="27"/>
      <c r="M54" s="27"/>
      <c r="N54" s="27"/>
      <c r="O54" s="27"/>
      <c r="P54" s="27"/>
      <c r="Q54" s="27"/>
      <c r="R54" s="27"/>
      <c r="S54" s="27"/>
      <c r="T54" s="27"/>
      <c r="U54" s="27"/>
      <c r="V54" s="27"/>
      <c r="W54" s="27"/>
      <c r="X54" s="27"/>
      <c r="Y54" s="27"/>
      <c r="Z54" s="27"/>
    </row>
    <row r="55" spans="1:26">
      <c r="A55" s="7" t="s">
        <v>98</v>
      </c>
      <c r="B55" s="7" t="s">
        <v>99</v>
      </c>
      <c r="C55" s="33"/>
      <c r="D55" s="33"/>
      <c r="E55" s="27"/>
      <c r="F55" s="27"/>
      <c r="G55" s="27"/>
      <c r="H55" s="27"/>
      <c r="I55" s="27"/>
      <c r="J55" s="27"/>
      <c r="K55" s="27"/>
      <c r="L55" s="27"/>
      <c r="M55" s="27"/>
      <c r="N55" s="27"/>
      <c r="O55" s="27"/>
      <c r="P55" s="27"/>
      <c r="Q55" s="27"/>
      <c r="R55" s="27"/>
      <c r="S55" s="27"/>
      <c r="T55" s="27"/>
      <c r="U55" s="27"/>
      <c r="V55" s="27"/>
      <c r="W55" s="27"/>
      <c r="X55" s="27"/>
      <c r="Y55" s="27"/>
      <c r="Z55" s="27"/>
    </row>
    <row r="56" spans="1:26">
      <c r="A56" s="32" t="s">
        <v>100</v>
      </c>
      <c r="B56" s="32">
        <v>0.1154</v>
      </c>
      <c r="C56" s="34"/>
      <c r="D56" s="33"/>
      <c r="E56" s="27"/>
      <c r="F56" s="27"/>
      <c r="G56" s="27"/>
      <c r="H56" s="27"/>
      <c r="I56" s="27"/>
      <c r="J56" s="27"/>
      <c r="K56" s="27"/>
      <c r="L56" s="27"/>
      <c r="M56" s="27"/>
      <c r="N56" s="27"/>
      <c r="O56" s="27"/>
      <c r="P56" s="27"/>
      <c r="Q56" s="27"/>
      <c r="R56" s="27"/>
      <c r="S56" s="27"/>
      <c r="T56" s="27"/>
      <c r="U56" s="27"/>
      <c r="V56" s="27"/>
      <c r="W56" s="27"/>
      <c r="X56" s="27"/>
      <c r="Y56" s="27"/>
      <c r="Z56" s="27"/>
    </row>
    <row r="57" spans="1:26">
      <c r="A57" s="32" t="s">
        <v>1277</v>
      </c>
      <c r="B57" s="32">
        <v>0.23080000000000001</v>
      </c>
      <c r="C57" s="34"/>
      <c r="D57" s="33"/>
      <c r="E57" s="27"/>
      <c r="F57" s="27"/>
      <c r="G57" s="27"/>
      <c r="H57" s="27"/>
      <c r="I57" s="27"/>
      <c r="J57" s="27"/>
      <c r="K57" s="27"/>
      <c r="L57" s="27"/>
      <c r="M57" s="27"/>
      <c r="N57" s="27"/>
      <c r="O57" s="27"/>
      <c r="P57" s="27"/>
      <c r="Q57" s="27"/>
      <c r="R57" s="27"/>
      <c r="S57" s="27"/>
      <c r="T57" s="27"/>
      <c r="U57" s="27"/>
      <c r="V57" s="27"/>
      <c r="W57" s="27"/>
      <c r="X57" s="27"/>
      <c r="Y57" s="27"/>
      <c r="Z57" s="27"/>
    </row>
    <row r="58" spans="1:26">
      <c r="A58" s="32" t="s">
        <v>1278</v>
      </c>
      <c r="B58" s="32">
        <v>0.53849999999999998</v>
      </c>
      <c r="C58" s="34"/>
      <c r="D58" s="33"/>
      <c r="E58" s="27"/>
      <c r="F58" s="27"/>
      <c r="G58" s="27"/>
      <c r="H58" s="27"/>
      <c r="I58" s="27"/>
      <c r="J58" s="27"/>
      <c r="K58" s="27"/>
      <c r="L58" s="27"/>
      <c r="M58" s="27"/>
      <c r="N58" s="27"/>
      <c r="O58" s="27"/>
      <c r="P58" s="27"/>
      <c r="Q58" s="27"/>
      <c r="R58" s="27"/>
      <c r="S58" s="27"/>
      <c r="T58" s="27"/>
      <c r="U58" s="27"/>
      <c r="V58" s="27"/>
      <c r="W58" s="27"/>
      <c r="X58" s="27"/>
      <c r="Y58" s="27"/>
      <c r="Z58" s="27"/>
    </row>
    <row r="59" spans="1:26">
      <c r="A59" s="32" t="s">
        <v>1279</v>
      </c>
      <c r="B59" s="32">
        <v>0.34620000000000001</v>
      </c>
      <c r="C59" s="34"/>
      <c r="D59" s="33"/>
      <c r="E59" s="27"/>
      <c r="F59" s="27"/>
      <c r="G59" s="27"/>
      <c r="H59" s="27"/>
      <c r="I59" s="27"/>
      <c r="J59" s="27"/>
      <c r="K59" s="27"/>
      <c r="L59" s="27"/>
      <c r="M59" s="27"/>
      <c r="N59" s="27"/>
      <c r="O59" s="27"/>
      <c r="P59" s="27"/>
      <c r="Q59" s="27"/>
      <c r="R59" s="27"/>
      <c r="S59" s="27"/>
      <c r="T59" s="27"/>
      <c r="U59" s="27"/>
      <c r="V59" s="27"/>
      <c r="W59" s="27"/>
      <c r="X59" s="27"/>
      <c r="Y59" s="27"/>
      <c r="Z59" s="27"/>
    </row>
    <row r="60" spans="1:26">
      <c r="A60" s="33"/>
      <c r="B60" s="33"/>
      <c r="C60" s="34"/>
      <c r="D60" s="33"/>
      <c r="E60" s="33"/>
      <c r="F60" s="33"/>
      <c r="G60" s="33"/>
      <c r="H60" s="33"/>
      <c r="I60" s="33"/>
      <c r="J60" s="33"/>
      <c r="K60" s="33"/>
      <c r="L60" s="33"/>
      <c r="M60" s="33"/>
      <c r="N60" s="33"/>
      <c r="O60" s="33"/>
      <c r="P60" s="33"/>
      <c r="Q60" s="33"/>
      <c r="R60" s="33"/>
      <c r="S60" s="33"/>
      <c r="T60" s="33"/>
      <c r="U60" s="33"/>
      <c r="V60" s="33"/>
      <c r="W60" s="33"/>
      <c r="X60" s="33"/>
      <c r="Y60" s="33"/>
      <c r="Z60" s="33"/>
    </row>
    <row r="61" spans="1:26">
      <c r="A61" s="7" t="s">
        <v>1280</v>
      </c>
      <c r="B61" s="7"/>
      <c r="C61" s="31"/>
      <c r="D61" s="33"/>
      <c r="E61" s="27"/>
      <c r="F61" s="27"/>
      <c r="G61" s="27"/>
      <c r="H61" s="27"/>
      <c r="I61" s="27"/>
      <c r="J61" s="27"/>
      <c r="K61" s="27"/>
      <c r="L61" s="27"/>
      <c r="M61" s="27"/>
      <c r="N61" s="27"/>
      <c r="O61" s="27"/>
      <c r="P61" s="27"/>
      <c r="Q61" s="27"/>
      <c r="R61" s="27"/>
      <c r="S61" s="27"/>
      <c r="T61" s="27"/>
      <c r="U61" s="27"/>
      <c r="V61" s="27"/>
      <c r="W61" s="27"/>
      <c r="X61" s="27"/>
      <c r="Y61" s="27"/>
      <c r="Z61" s="27"/>
    </row>
    <row r="62" spans="1:26">
      <c r="A62" s="7" t="s">
        <v>1281</v>
      </c>
      <c r="B62" s="7" t="s">
        <v>1282</v>
      </c>
      <c r="C62" s="7" t="s">
        <v>919</v>
      </c>
      <c r="D62" s="33"/>
      <c r="E62" s="27"/>
      <c r="F62" s="27"/>
      <c r="G62" s="27"/>
      <c r="H62" s="27"/>
      <c r="I62" s="27"/>
      <c r="J62" s="27"/>
      <c r="K62" s="27"/>
      <c r="L62" s="27"/>
      <c r="M62" s="27"/>
      <c r="N62" s="27"/>
      <c r="O62" s="27"/>
      <c r="P62" s="27"/>
      <c r="Q62" s="27"/>
      <c r="R62" s="27"/>
      <c r="S62" s="27"/>
      <c r="T62" s="27"/>
      <c r="U62" s="27"/>
      <c r="V62" s="27"/>
      <c r="W62" s="27"/>
      <c r="X62" s="27"/>
      <c r="Y62" s="27"/>
      <c r="Z62" s="27"/>
    </row>
    <row r="63" spans="1:26">
      <c r="A63" s="32" t="s">
        <v>1315</v>
      </c>
      <c r="B63" s="32" t="s">
        <v>30</v>
      </c>
      <c r="C63" s="32" t="s">
        <v>85</v>
      </c>
      <c r="D63" s="33"/>
      <c r="E63" s="27"/>
      <c r="F63" s="27"/>
      <c r="G63" s="27"/>
      <c r="H63" s="27"/>
      <c r="I63" s="27"/>
      <c r="J63" s="27"/>
      <c r="K63" s="27"/>
      <c r="L63" s="27"/>
      <c r="M63" s="27"/>
      <c r="N63" s="27"/>
      <c r="O63" s="27"/>
      <c r="P63" s="27"/>
      <c r="Q63" s="27"/>
      <c r="R63" s="27"/>
      <c r="S63" s="27"/>
      <c r="T63" s="27"/>
      <c r="U63" s="27"/>
      <c r="V63" s="27"/>
      <c r="W63" s="27"/>
      <c r="X63" s="27"/>
      <c r="Y63" s="27"/>
      <c r="Z63" s="27"/>
    </row>
    <row r="64" spans="1:26">
      <c r="A64" s="32" t="s">
        <v>1316</v>
      </c>
      <c r="B64" s="32" t="s">
        <v>30</v>
      </c>
      <c r="C64" s="32" t="s">
        <v>85</v>
      </c>
      <c r="D64" s="33"/>
      <c r="E64" s="27"/>
      <c r="F64" s="27"/>
      <c r="G64" s="27"/>
      <c r="H64" s="27"/>
      <c r="I64" s="27"/>
      <c r="J64" s="27"/>
      <c r="K64" s="27"/>
      <c r="L64" s="27"/>
      <c r="M64" s="27"/>
      <c r="N64" s="27"/>
      <c r="O64" s="27"/>
      <c r="P64" s="27"/>
      <c r="Q64" s="27"/>
      <c r="R64" s="27"/>
      <c r="S64" s="27"/>
      <c r="T64" s="27"/>
      <c r="U64" s="27"/>
      <c r="V64" s="27"/>
      <c r="W64" s="27"/>
      <c r="X64" s="27"/>
      <c r="Y64" s="27"/>
      <c r="Z64" s="27"/>
    </row>
    <row r="65" spans="1:26">
      <c r="A65" s="32" t="s">
        <v>1317</v>
      </c>
      <c r="B65" s="32" t="s">
        <v>30</v>
      </c>
      <c r="C65" s="32" t="s">
        <v>85</v>
      </c>
      <c r="D65" s="33"/>
      <c r="E65" s="27"/>
      <c r="F65" s="27"/>
      <c r="G65" s="27"/>
      <c r="H65" s="27"/>
      <c r="I65" s="27"/>
      <c r="J65" s="27"/>
      <c r="K65" s="27"/>
      <c r="L65" s="27"/>
      <c r="M65" s="27"/>
      <c r="N65" s="27"/>
      <c r="O65" s="27"/>
      <c r="P65" s="27"/>
      <c r="Q65" s="27"/>
      <c r="R65" s="27"/>
      <c r="S65" s="27"/>
      <c r="T65" s="27"/>
      <c r="U65" s="27"/>
      <c r="V65" s="27"/>
      <c r="W65" s="27"/>
      <c r="X65" s="27"/>
      <c r="Y65" s="27"/>
      <c r="Z65" s="27"/>
    </row>
    <row r="66" spans="1:26">
      <c r="A66" s="32" t="s">
        <v>1318</v>
      </c>
      <c r="B66" s="32" t="s">
        <v>30</v>
      </c>
      <c r="C66" s="32" t="s">
        <v>76</v>
      </c>
      <c r="D66" s="33"/>
      <c r="E66" s="27"/>
      <c r="F66" s="27"/>
      <c r="G66" s="27"/>
      <c r="H66" s="27"/>
      <c r="I66" s="27"/>
      <c r="J66" s="27"/>
      <c r="K66" s="27"/>
      <c r="L66" s="27"/>
      <c r="M66" s="27"/>
      <c r="N66" s="27"/>
      <c r="O66" s="27"/>
      <c r="P66" s="27"/>
      <c r="Q66" s="27"/>
      <c r="R66" s="27"/>
      <c r="S66" s="27"/>
      <c r="T66" s="27"/>
      <c r="U66" s="27"/>
      <c r="V66" s="27"/>
      <c r="W66" s="27"/>
      <c r="X66" s="27"/>
      <c r="Y66" s="27"/>
      <c r="Z66" s="27"/>
    </row>
    <row r="67" spans="1:26">
      <c r="A67" s="32" t="s">
        <v>1319</v>
      </c>
      <c r="B67" s="32" t="s">
        <v>30</v>
      </c>
      <c r="C67" s="32" t="s">
        <v>76</v>
      </c>
      <c r="D67" s="33"/>
      <c r="E67" s="27"/>
      <c r="F67" s="27"/>
      <c r="G67" s="27"/>
      <c r="H67" s="27"/>
      <c r="I67" s="27"/>
      <c r="J67" s="27"/>
      <c r="K67" s="27"/>
      <c r="L67" s="27"/>
      <c r="M67" s="27"/>
      <c r="N67" s="27"/>
      <c r="O67" s="27"/>
      <c r="P67" s="27"/>
      <c r="Q67" s="27"/>
      <c r="R67" s="27"/>
      <c r="S67" s="27"/>
      <c r="T67" s="27"/>
      <c r="U67" s="27"/>
      <c r="V67" s="27"/>
      <c r="W67" s="27"/>
      <c r="X67" s="27"/>
      <c r="Y67" s="27"/>
      <c r="Z67" s="27"/>
    </row>
    <row r="68" spans="1:26">
      <c r="A68" s="32" t="s">
        <v>1320</v>
      </c>
      <c r="B68" s="32" t="s">
        <v>1321</v>
      </c>
      <c r="C68" s="32" t="s">
        <v>72</v>
      </c>
      <c r="D68" s="33"/>
      <c r="E68" s="27"/>
      <c r="F68" s="27"/>
      <c r="G68" s="27"/>
      <c r="H68" s="27"/>
      <c r="I68" s="27"/>
      <c r="J68" s="27"/>
      <c r="K68" s="27"/>
      <c r="L68" s="27"/>
      <c r="M68" s="27"/>
      <c r="N68" s="27"/>
      <c r="O68" s="27"/>
      <c r="P68" s="27"/>
      <c r="Q68" s="27"/>
      <c r="R68" s="27"/>
      <c r="S68" s="27"/>
      <c r="T68" s="27"/>
      <c r="U68" s="27"/>
      <c r="V68" s="27"/>
      <c r="W68" s="27"/>
      <c r="X68" s="27"/>
      <c r="Y68" s="27"/>
      <c r="Z68" s="27"/>
    </row>
    <row r="69" spans="1:26">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spans="1:26">
      <c r="A70" s="7" t="s">
        <v>1288</v>
      </c>
      <c r="B70" s="7"/>
      <c r="C70" s="31"/>
      <c r="D70" s="7"/>
      <c r="E70" s="7"/>
      <c r="F70" s="27"/>
      <c r="G70" s="27"/>
      <c r="H70" s="27"/>
      <c r="I70" s="27"/>
      <c r="J70" s="27"/>
      <c r="K70" s="27"/>
      <c r="L70" s="27"/>
      <c r="M70" s="27"/>
      <c r="N70" s="27"/>
      <c r="O70" s="27"/>
      <c r="P70" s="27"/>
      <c r="Q70" s="27"/>
      <c r="R70" s="27"/>
      <c r="S70" s="27"/>
      <c r="T70" s="27"/>
      <c r="U70" s="27"/>
      <c r="V70" s="27"/>
      <c r="W70" s="27"/>
      <c r="X70" s="27"/>
      <c r="Y70" s="27"/>
      <c r="Z70" s="27"/>
    </row>
    <row r="71" spans="1:26">
      <c r="A71" s="7" t="s">
        <v>79</v>
      </c>
      <c r="B71" s="7" t="s">
        <v>1289</v>
      </c>
      <c r="C71" s="7" t="s">
        <v>1290</v>
      </c>
      <c r="D71" s="7" t="s">
        <v>1291</v>
      </c>
      <c r="E71" s="7" t="s">
        <v>1292</v>
      </c>
      <c r="F71" s="27"/>
      <c r="G71" s="27"/>
      <c r="H71" s="27"/>
      <c r="I71" s="27"/>
      <c r="J71" s="27"/>
      <c r="K71" s="27"/>
      <c r="L71" s="27"/>
      <c r="M71" s="27"/>
      <c r="N71" s="27"/>
      <c r="O71" s="27"/>
      <c r="P71" s="27"/>
      <c r="Q71" s="27"/>
      <c r="R71" s="27"/>
      <c r="S71" s="27"/>
      <c r="T71" s="27"/>
      <c r="U71" s="27"/>
      <c r="V71" s="27"/>
      <c r="W71" s="27"/>
      <c r="X71" s="27"/>
      <c r="Y71" s="27"/>
      <c r="Z71" s="27"/>
    </row>
    <row r="72" spans="1:26">
      <c r="A72" s="32">
        <v>1</v>
      </c>
      <c r="B72" s="32" t="s">
        <v>1322</v>
      </c>
      <c r="C72" s="32" t="s">
        <v>65</v>
      </c>
      <c r="D72" s="32" t="s">
        <v>72</v>
      </c>
      <c r="E72" s="32" t="s">
        <v>1294</v>
      </c>
      <c r="F72" s="27"/>
      <c r="G72" s="27"/>
      <c r="H72" s="27"/>
      <c r="I72" s="27"/>
      <c r="J72" s="27"/>
      <c r="K72" s="27"/>
      <c r="L72" s="27"/>
      <c r="M72" s="27"/>
      <c r="N72" s="27"/>
      <c r="O72" s="27"/>
      <c r="P72" s="27"/>
      <c r="Q72" s="27"/>
      <c r="R72" s="27"/>
      <c r="S72" s="27"/>
      <c r="T72" s="27"/>
      <c r="U72" s="27"/>
      <c r="V72" s="27"/>
      <c r="W72" s="27"/>
      <c r="X72" s="27"/>
      <c r="Y72" s="27"/>
      <c r="Z72" s="27"/>
    </row>
    <row r="73" spans="1:26">
      <c r="A73" s="32">
        <v>2</v>
      </c>
      <c r="B73" s="32" t="s">
        <v>1323</v>
      </c>
      <c r="C73" s="32" t="s">
        <v>65</v>
      </c>
      <c r="D73" s="32" t="s">
        <v>887</v>
      </c>
      <c r="E73" s="32" t="s">
        <v>1294</v>
      </c>
      <c r="F73" s="27"/>
      <c r="G73" s="27"/>
      <c r="H73" s="27"/>
      <c r="I73" s="27"/>
      <c r="J73" s="27"/>
      <c r="K73" s="27"/>
      <c r="L73" s="27"/>
      <c r="M73" s="27"/>
      <c r="N73" s="27"/>
      <c r="O73" s="27"/>
      <c r="P73" s="27"/>
      <c r="Q73" s="27"/>
      <c r="R73" s="27"/>
      <c r="S73" s="27"/>
      <c r="T73" s="27"/>
      <c r="U73" s="27"/>
      <c r="V73" s="27"/>
      <c r="W73" s="27"/>
      <c r="X73" s="27"/>
      <c r="Y73" s="27"/>
      <c r="Z73" s="27"/>
    </row>
    <row r="74" spans="1:26">
      <c r="A74" s="32">
        <v>3</v>
      </c>
      <c r="B74" s="32" t="s">
        <v>1324</v>
      </c>
      <c r="C74" s="32" t="s">
        <v>65</v>
      </c>
      <c r="D74" s="32" t="s">
        <v>72</v>
      </c>
      <c r="E74" s="32" t="s">
        <v>1294</v>
      </c>
      <c r="F74" s="27"/>
      <c r="G74" s="27"/>
      <c r="H74" s="27"/>
      <c r="I74" s="27"/>
      <c r="J74" s="27"/>
      <c r="K74" s="27"/>
      <c r="L74" s="27"/>
      <c r="M74" s="27"/>
      <c r="N74" s="27"/>
      <c r="O74" s="27"/>
      <c r="P74" s="27"/>
      <c r="Q74" s="27"/>
      <c r="R74" s="27"/>
      <c r="S74" s="27"/>
      <c r="T74" s="27"/>
      <c r="U74" s="27"/>
      <c r="V74" s="27"/>
      <c r="W74" s="27"/>
      <c r="X74" s="27"/>
      <c r="Y74" s="27"/>
      <c r="Z74" s="27"/>
    </row>
    <row r="75" spans="1:26">
      <c r="A75" s="32">
        <v>4</v>
      </c>
      <c r="B75" s="32" t="s">
        <v>1325</v>
      </c>
      <c r="C75" s="32" t="s">
        <v>76</v>
      </c>
      <c r="D75" s="32" t="s">
        <v>887</v>
      </c>
      <c r="E75" s="32" t="s">
        <v>1294</v>
      </c>
      <c r="F75" s="27"/>
      <c r="G75" s="27"/>
      <c r="H75" s="27"/>
      <c r="I75" s="27"/>
      <c r="J75" s="27"/>
      <c r="K75" s="27"/>
      <c r="L75" s="27"/>
      <c r="M75" s="27"/>
      <c r="N75" s="27"/>
      <c r="O75" s="27"/>
      <c r="P75" s="27"/>
      <c r="Q75" s="27"/>
      <c r="R75" s="27"/>
      <c r="S75" s="27"/>
      <c r="T75" s="27"/>
      <c r="U75" s="27"/>
      <c r="V75" s="27"/>
      <c r="W75" s="27"/>
      <c r="X75" s="27"/>
      <c r="Y75" s="27"/>
      <c r="Z75" s="27"/>
    </row>
    <row r="76" spans="1:26">
      <c r="A76" s="32">
        <v>5</v>
      </c>
      <c r="B76" s="32" t="s">
        <v>1326</v>
      </c>
      <c r="C76" s="32" t="s">
        <v>76</v>
      </c>
      <c r="D76" s="32" t="s">
        <v>72</v>
      </c>
      <c r="E76" s="32" t="s">
        <v>1294</v>
      </c>
      <c r="F76" s="27"/>
      <c r="G76" s="27"/>
      <c r="H76" s="27"/>
      <c r="I76" s="27"/>
      <c r="J76" s="27"/>
      <c r="K76" s="27"/>
      <c r="L76" s="27"/>
      <c r="M76" s="27"/>
      <c r="N76" s="27"/>
      <c r="O76" s="27"/>
      <c r="P76" s="27"/>
      <c r="Q76" s="27"/>
      <c r="R76" s="27"/>
      <c r="S76" s="27"/>
      <c r="T76" s="27"/>
      <c r="U76" s="27"/>
      <c r="V76" s="27"/>
      <c r="W76" s="27"/>
      <c r="X76" s="27"/>
      <c r="Y76" s="27"/>
      <c r="Z76" s="27"/>
    </row>
    <row r="77" spans="1:26">
      <c r="A77" s="32">
        <v>6</v>
      </c>
      <c r="B77" s="32" t="s">
        <v>1327</v>
      </c>
      <c r="C77" s="32" t="s">
        <v>72</v>
      </c>
      <c r="D77" s="32" t="s">
        <v>887</v>
      </c>
      <c r="E77" s="32" t="s">
        <v>1294</v>
      </c>
      <c r="F77" s="27"/>
      <c r="G77" s="27"/>
      <c r="H77" s="27"/>
      <c r="I77" s="27"/>
      <c r="J77" s="27"/>
      <c r="K77" s="27"/>
      <c r="L77" s="27"/>
      <c r="M77" s="27"/>
      <c r="N77" s="27"/>
      <c r="O77" s="27"/>
      <c r="P77" s="27"/>
      <c r="Q77" s="27"/>
      <c r="R77" s="27"/>
      <c r="S77" s="27"/>
      <c r="T77" s="27"/>
      <c r="U77" s="27"/>
      <c r="V77" s="27"/>
      <c r="W77" s="27"/>
      <c r="X77" s="27"/>
      <c r="Y77" s="27"/>
      <c r="Z77" s="27"/>
    </row>
    <row r="78" spans="1:26">
      <c r="A78" s="33"/>
      <c r="B78" s="33"/>
      <c r="C78" s="34"/>
      <c r="D78" s="33"/>
      <c r="E78" s="33"/>
      <c r="F78" s="27"/>
      <c r="G78" s="27"/>
      <c r="H78" s="27"/>
      <c r="I78" s="27"/>
      <c r="J78" s="27"/>
      <c r="K78" s="27"/>
      <c r="L78" s="27"/>
      <c r="M78" s="27"/>
      <c r="N78" s="27"/>
      <c r="O78" s="27"/>
      <c r="P78" s="27"/>
      <c r="Q78" s="27"/>
      <c r="R78" s="27"/>
      <c r="S78" s="27"/>
      <c r="T78" s="27"/>
      <c r="U78" s="27"/>
      <c r="V78" s="27"/>
      <c r="W78" s="27"/>
      <c r="X78" s="27"/>
      <c r="Y78" s="27"/>
      <c r="Z78" s="27"/>
    </row>
    <row r="79" spans="1:26">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row r="1001" spans="1:26">
      <c r="A1001" s="27"/>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row>
    <row r="1002" spans="1:26">
      <c r="A1002" s="27"/>
      <c r="B1002" s="27"/>
      <c r="C1002" s="27"/>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row>
    <row r="1003" spans="1:26">
      <c r="A1003" s="27"/>
      <c r="B1003" s="27"/>
      <c r="C1003" s="27"/>
      <c r="D1003" s="27"/>
      <c r="E1003" s="27"/>
      <c r="F1003" s="27"/>
      <c r="G1003" s="27"/>
      <c r="H1003" s="27"/>
      <c r="I1003" s="27"/>
      <c r="J1003" s="27"/>
      <c r="K1003" s="27"/>
      <c r="L1003" s="27"/>
      <c r="M1003" s="27"/>
      <c r="N1003" s="27"/>
      <c r="O1003" s="27"/>
      <c r="P1003" s="27"/>
      <c r="Q1003" s="27"/>
      <c r="R1003" s="27"/>
      <c r="S1003" s="27"/>
      <c r="T1003" s="27"/>
      <c r="U1003" s="27"/>
      <c r="V1003" s="27"/>
      <c r="W1003" s="27"/>
      <c r="X1003" s="27"/>
      <c r="Y1003" s="27"/>
      <c r="Z1003" s="27"/>
    </row>
    <row r="1004" spans="1:26">
      <c r="A1004" s="27"/>
      <c r="B1004" s="27"/>
      <c r="C1004" s="27"/>
      <c r="D1004" s="27"/>
      <c r="E1004" s="27"/>
      <c r="F1004" s="27"/>
      <c r="G1004" s="27"/>
      <c r="H1004" s="27"/>
      <c r="I1004" s="27"/>
      <c r="J1004" s="27"/>
      <c r="K1004" s="27"/>
      <c r="L1004" s="27"/>
      <c r="M1004" s="27"/>
      <c r="N1004" s="27"/>
      <c r="O1004" s="27"/>
      <c r="P1004" s="27"/>
      <c r="Q1004" s="27"/>
      <c r="R1004" s="27"/>
      <c r="S1004" s="27"/>
      <c r="T1004" s="27"/>
      <c r="U1004" s="27"/>
      <c r="V1004" s="27"/>
      <c r="W1004" s="27"/>
      <c r="X1004" s="27"/>
      <c r="Y1004" s="27"/>
      <c r="Z1004" s="27"/>
    </row>
    <row r="1005" spans="1:26">
      <c r="A1005" s="27"/>
      <c r="B1005" s="27"/>
      <c r="C1005" s="27"/>
      <c r="D1005" s="27"/>
      <c r="E1005" s="27"/>
      <c r="F1005" s="27"/>
      <c r="G1005" s="27"/>
      <c r="H1005" s="27"/>
      <c r="I1005" s="27"/>
      <c r="J1005" s="27"/>
      <c r="K1005" s="27"/>
      <c r="L1005" s="27"/>
      <c r="M1005" s="27"/>
      <c r="N1005" s="27"/>
      <c r="O1005" s="27"/>
      <c r="P1005" s="27"/>
      <c r="Q1005" s="27"/>
      <c r="R1005" s="27"/>
      <c r="S1005" s="27"/>
      <c r="T1005" s="27"/>
      <c r="U1005" s="27"/>
      <c r="V1005" s="27"/>
      <c r="W1005" s="27"/>
      <c r="X1005" s="27"/>
      <c r="Y1005" s="27"/>
      <c r="Z1005" s="27"/>
    </row>
    <row r="1006" spans="1:26">
      <c r="A1006" s="27"/>
      <c r="B1006" s="27"/>
      <c r="C1006" s="27"/>
      <c r="D1006" s="27"/>
      <c r="E1006" s="27"/>
      <c r="F1006" s="27"/>
      <c r="G1006" s="27"/>
      <c r="H1006" s="27"/>
      <c r="I1006" s="27"/>
      <c r="J1006" s="27"/>
      <c r="K1006" s="27"/>
      <c r="L1006" s="27"/>
      <c r="M1006" s="27"/>
      <c r="N1006" s="27"/>
      <c r="O1006" s="27"/>
      <c r="P1006" s="27"/>
      <c r="Q1006" s="27"/>
      <c r="R1006" s="27"/>
      <c r="S1006" s="27"/>
      <c r="T1006" s="27"/>
      <c r="U1006" s="27"/>
      <c r="V1006" s="27"/>
      <c r="W1006" s="27"/>
      <c r="X1006" s="27"/>
      <c r="Y1006" s="27"/>
      <c r="Z1006" s="27"/>
    </row>
    <row r="1007" spans="1:26">
      <c r="A1007" s="27"/>
      <c r="B1007" s="27"/>
      <c r="C1007" s="27"/>
      <c r="D1007" s="27"/>
      <c r="E1007" s="27"/>
      <c r="F1007" s="27"/>
      <c r="G1007" s="27"/>
      <c r="H1007" s="27"/>
      <c r="I1007" s="27"/>
      <c r="J1007" s="27"/>
      <c r="K1007" s="27"/>
      <c r="L1007" s="27"/>
      <c r="M1007" s="27"/>
      <c r="N1007" s="27"/>
      <c r="O1007" s="27"/>
      <c r="P1007" s="27"/>
      <c r="Q1007" s="27"/>
      <c r="R1007" s="27"/>
      <c r="S1007" s="27"/>
      <c r="T1007" s="27"/>
      <c r="U1007" s="27"/>
      <c r="V1007" s="27"/>
      <c r="W1007" s="27"/>
      <c r="X1007" s="27"/>
      <c r="Y1007" s="27"/>
      <c r="Z1007" s="27"/>
    </row>
    <row r="1008" spans="1:26">
      <c r="A1008" s="27"/>
      <c r="B1008" s="27"/>
      <c r="C1008" s="27"/>
      <c r="D1008" s="27"/>
      <c r="E1008" s="27"/>
      <c r="F1008" s="27"/>
      <c r="G1008" s="27"/>
      <c r="H1008" s="27"/>
      <c r="I1008" s="27"/>
      <c r="J1008" s="27"/>
      <c r="K1008" s="27"/>
      <c r="L1008" s="27"/>
      <c r="M1008" s="27"/>
      <c r="N1008" s="27"/>
      <c r="O1008" s="27"/>
      <c r="P1008" s="27"/>
      <c r="Q1008" s="27"/>
      <c r="R1008" s="27"/>
      <c r="S1008" s="27"/>
      <c r="T1008" s="27"/>
      <c r="U1008" s="27"/>
      <c r="V1008" s="27"/>
      <c r="W1008" s="27"/>
      <c r="X1008" s="27"/>
      <c r="Y1008" s="27"/>
      <c r="Z1008" s="27"/>
    </row>
    <row r="1009" spans="1:26">
      <c r="A1009" s="27"/>
      <c r="B1009" s="27"/>
      <c r="C1009" s="27"/>
      <c r="D1009" s="27"/>
      <c r="E1009" s="27"/>
      <c r="F1009" s="27"/>
      <c r="G1009" s="27"/>
      <c r="H1009" s="27"/>
      <c r="I1009" s="27"/>
      <c r="J1009" s="27"/>
      <c r="K1009" s="27"/>
      <c r="L1009" s="27"/>
      <c r="M1009" s="27"/>
      <c r="N1009" s="27"/>
      <c r="O1009" s="27"/>
      <c r="P1009" s="27"/>
      <c r="Q1009" s="27"/>
      <c r="R1009" s="27"/>
      <c r="S1009" s="27"/>
      <c r="T1009" s="27"/>
      <c r="U1009" s="27"/>
      <c r="V1009" s="27"/>
      <c r="W1009" s="27"/>
      <c r="X1009" s="27"/>
      <c r="Y1009" s="27"/>
      <c r="Z1009" s="27"/>
    </row>
    <row r="1010" spans="1:26">
      <c r="A1010" s="27"/>
      <c r="B1010" s="27"/>
      <c r="C1010" s="27"/>
      <c r="D1010" s="27"/>
      <c r="E1010" s="27"/>
      <c r="F1010" s="27"/>
      <c r="G1010" s="27"/>
      <c r="H1010" s="27"/>
      <c r="I1010" s="27"/>
      <c r="J1010" s="27"/>
      <c r="K1010" s="27"/>
      <c r="L1010" s="27"/>
      <c r="M1010" s="27"/>
      <c r="N1010" s="27"/>
      <c r="O1010" s="27"/>
      <c r="P1010" s="27"/>
      <c r="Q1010" s="27"/>
      <c r="R1010" s="27"/>
      <c r="S1010" s="27"/>
      <c r="T1010" s="27"/>
      <c r="U1010" s="27"/>
      <c r="V1010" s="27"/>
      <c r="W1010" s="27"/>
      <c r="X1010" s="27"/>
      <c r="Y1010" s="27"/>
      <c r="Z1010" s="27"/>
    </row>
    <row r="1011" spans="1:26">
      <c r="A1011" s="27"/>
      <c r="B1011" s="27"/>
      <c r="C1011" s="27"/>
      <c r="D1011" s="27"/>
      <c r="E1011" s="27"/>
      <c r="F1011" s="27"/>
      <c r="G1011" s="27"/>
      <c r="H1011" s="27"/>
      <c r="I1011" s="27"/>
      <c r="J1011" s="27"/>
      <c r="K1011" s="27"/>
      <c r="L1011" s="27"/>
      <c r="M1011" s="27"/>
      <c r="N1011" s="27"/>
      <c r="O1011" s="27"/>
      <c r="P1011" s="27"/>
      <c r="Q1011" s="27"/>
      <c r="R1011" s="27"/>
      <c r="S1011" s="27"/>
      <c r="T1011" s="27"/>
      <c r="U1011" s="27"/>
      <c r="V1011" s="27"/>
      <c r="W1011" s="27"/>
      <c r="X1011" s="27"/>
      <c r="Y1011" s="27"/>
      <c r="Z1011" s="27"/>
    </row>
    <row r="1012" spans="1:26">
      <c r="A1012" s="27"/>
      <c r="B1012" s="27"/>
      <c r="C1012" s="27"/>
      <c r="D1012" s="27"/>
      <c r="E1012" s="27"/>
      <c r="F1012" s="27"/>
      <c r="G1012" s="27"/>
      <c r="H1012" s="27"/>
      <c r="I1012" s="27"/>
      <c r="J1012" s="27"/>
      <c r="K1012" s="27"/>
      <c r="L1012" s="27"/>
      <c r="M1012" s="27"/>
      <c r="N1012" s="27"/>
      <c r="O1012" s="27"/>
      <c r="P1012" s="27"/>
      <c r="Q1012" s="27"/>
      <c r="R1012" s="27"/>
      <c r="S1012" s="27"/>
      <c r="T1012" s="27"/>
      <c r="U1012" s="27"/>
      <c r="V1012" s="27"/>
      <c r="W1012" s="27"/>
      <c r="X1012" s="27"/>
      <c r="Y1012" s="27"/>
      <c r="Z1012" s="27"/>
    </row>
    <row r="1013" spans="1:26">
      <c r="A1013" s="27"/>
      <c r="B1013" s="27"/>
      <c r="C1013" s="27"/>
      <c r="D1013" s="27"/>
      <c r="E1013" s="27"/>
      <c r="F1013" s="27"/>
      <c r="G1013" s="27"/>
      <c r="H1013" s="27"/>
      <c r="I1013" s="27"/>
      <c r="J1013" s="27"/>
      <c r="K1013" s="27"/>
      <c r="L1013" s="27"/>
      <c r="M1013" s="27"/>
      <c r="N1013" s="27"/>
      <c r="O1013" s="27"/>
      <c r="P1013" s="27"/>
      <c r="Q1013" s="27"/>
      <c r="R1013" s="27"/>
      <c r="S1013" s="27"/>
      <c r="T1013" s="27"/>
      <c r="U1013" s="27"/>
      <c r="V1013" s="27"/>
      <c r="W1013" s="27"/>
      <c r="X1013" s="27"/>
      <c r="Y1013" s="27"/>
      <c r="Z1013" s="27"/>
    </row>
    <row r="1014" spans="1:26">
      <c r="A1014" s="27"/>
      <c r="B1014" s="27"/>
      <c r="C1014" s="27"/>
      <c r="D1014" s="27"/>
      <c r="E1014" s="27"/>
      <c r="F1014" s="27"/>
      <c r="G1014" s="27"/>
      <c r="H1014" s="27"/>
      <c r="I1014" s="27"/>
      <c r="J1014" s="27"/>
      <c r="K1014" s="27"/>
      <c r="L1014" s="27"/>
      <c r="M1014" s="27"/>
      <c r="N1014" s="27"/>
      <c r="O1014" s="27"/>
      <c r="P1014" s="27"/>
      <c r="Q1014" s="27"/>
      <c r="R1014" s="27"/>
      <c r="S1014" s="27"/>
      <c r="T1014" s="27"/>
      <c r="U1014" s="27"/>
      <c r="V1014" s="27"/>
      <c r="W1014" s="27"/>
      <c r="X1014" s="27"/>
      <c r="Y1014" s="27"/>
      <c r="Z1014" s="27"/>
    </row>
  </sheetData>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21"/>
  <sheetViews>
    <sheetView workbookViewId="0"/>
  </sheetViews>
  <sheetFormatPr defaultColWidth="12.5703125" defaultRowHeight="15.75" customHeight="1"/>
  <cols>
    <col min="1" max="1" width="35.42578125" customWidth="1"/>
    <col min="2" max="2" width="29.140625" customWidth="1"/>
    <col min="3" max="3" width="32.28515625" customWidth="1"/>
    <col min="4" max="4" width="24.42578125" customWidth="1"/>
    <col min="5" max="5" width="18.42578125" customWidth="1"/>
    <col min="6" max="6" width="35.42578125" customWidth="1"/>
  </cols>
  <sheetData>
    <row r="1" spans="1:26">
      <c r="A1" s="7" t="s">
        <v>1239</v>
      </c>
      <c r="B1" s="7" t="s">
        <v>99</v>
      </c>
      <c r="C1" s="27"/>
      <c r="D1" s="27"/>
      <c r="E1" s="27"/>
      <c r="F1" s="27"/>
      <c r="G1" s="27"/>
      <c r="H1" s="27"/>
      <c r="I1" s="27"/>
      <c r="J1" s="27"/>
      <c r="K1" s="27"/>
      <c r="L1" s="27"/>
      <c r="M1" s="27"/>
      <c r="N1" s="27"/>
      <c r="O1" s="27"/>
      <c r="P1" s="27"/>
      <c r="Q1" s="27"/>
      <c r="R1" s="27"/>
      <c r="S1" s="27"/>
      <c r="T1" s="27"/>
      <c r="U1" s="27"/>
      <c r="V1" s="27"/>
      <c r="W1" s="27"/>
      <c r="X1" s="27"/>
      <c r="Y1" s="27"/>
      <c r="Z1" s="27"/>
    </row>
    <row r="2" spans="1:26">
      <c r="A2" s="7" t="s">
        <v>1240</v>
      </c>
      <c r="B2" s="7" t="s">
        <v>13</v>
      </c>
      <c r="C2" s="27"/>
      <c r="D2" s="27"/>
      <c r="E2" s="27"/>
      <c r="F2" s="27"/>
      <c r="G2" s="27"/>
      <c r="H2" s="27"/>
      <c r="I2" s="27"/>
      <c r="J2" s="27"/>
      <c r="K2" s="27"/>
      <c r="L2" s="27"/>
      <c r="M2" s="27"/>
      <c r="N2" s="27"/>
      <c r="O2" s="27"/>
      <c r="P2" s="27"/>
      <c r="Q2" s="27"/>
      <c r="R2" s="27"/>
      <c r="S2" s="27"/>
      <c r="T2" s="27"/>
      <c r="U2" s="27"/>
      <c r="V2" s="27"/>
      <c r="W2" s="27"/>
      <c r="X2" s="27"/>
      <c r="Y2" s="27"/>
      <c r="Z2" s="27"/>
    </row>
    <row r="3" spans="1:26">
      <c r="A3" s="29" t="s">
        <v>1241</v>
      </c>
      <c r="B3" s="29">
        <v>26</v>
      </c>
      <c r="C3" s="30"/>
      <c r="D3" s="27"/>
      <c r="E3" s="27"/>
      <c r="F3" s="27"/>
      <c r="G3" s="27"/>
      <c r="H3" s="27"/>
      <c r="I3" s="27"/>
      <c r="J3" s="27"/>
      <c r="K3" s="27"/>
      <c r="L3" s="27"/>
      <c r="M3" s="27"/>
      <c r="N3" s="27"/>
      <c r="O3" s="27"/>
      <c r="P3" s="27"/>
      <c r="Q3" s="27"/>
      <c r="R3" s="27"/>
      <c r="S3" s="27"/>
      <c r="T3" s="27"/>
      <c r="U3" s="27"/>
      <c r="V3" s="27"/>
      <c r="W3" s="27"/>
      <c r="X3" s="27"/>
      <c r="Y3" s="27"/>
      <c r="Z3" s="27"/>
    </row>
    <row r="4" spans="1:26">
      <c r="A4" s="29" t="s">
        <v>1242</v>
      </c>
      <c r="B4" s="29"/>
      <c r="C4" s="30"/>
      <c r="D4" s="27"/>
      <c r="E4" s="27"/>
      <c r="F4" s="27"/>
      <c r="G4" s="27"/>
      <c r="H4" s="27"/>
      <c r="I4" s="27"/>
      <c r="J4" s="27"/>
      <c r="K4" s="27"/>
      <c r="L4" s="27"/>
      <c r="M4" s="27"/>
      <c r="N4" s="27"/>
      <c r="O4" s="27"/>
      <c r="P4" s="27"/>
      <c r="Q4" s="27"/>
      <c r="R4" s="27"/>
      <c r="S4" s="27"/>
      <c r="T4" s="27"/>
      <c r="U4" s="27"/>
      <c r="V4" s="27"/>
      <c r="W4" s="27"/>
      <c r="X4" s="27"/>
      <c r="Y4" s="27"/>
      <c r="Z4" s="27"/>
    </row>
    <row r="5" spans="1:26">
      <c r="A5" s="29" t="s">
        <v>1243</v>
      </c>
      <c r="B5" s="29"/>
      <c r="C5" s="30"/>
      <c r="D5" s="27"/>
      <c r="E5" s="27"/>
      <c r="F5" s="27"/>
      <c r="G5" s="27"/>
      <c r="H5" s="27"/>
      <c r="I5" s="27"/>
      <c r="J5" s="27"/>
      <c r="K5" s="27"/>
      <c r="L5" s="27"/>
      <c r="M5" s="27"/>
      <c r="N5" s="27"/>
      <c r="O5" s="27"/>
      <c r="P5" s="27"/>
      <c r="Q5" s="27"/>
      <c r="R5" s="27"/>
      <c r="S5" s="27"/>
      <c r="T5" s="27"/>
      <c r="U5" s="27"/>
      <c r="V5" s="27"/>
      <c r="W5" s="27"/>
      <c r="X5" s="27"/>
      <c r="Y5" s="27"/>
      <c r="Z5" s="27"/>
    </row>
    <row r="6" spans="1:26">
      <c r="A6" s="29" t="s">
        <v>1244</v>
      </c>
      <c r="B6" s="29"/>
      <c r="C6" s="30"/>
      <c r="D6" s="27"/>
      <c r="E6" s="27"/>
      <c r="F6" s="27"/>
      <c r="G6" s="27"/>
      <c r="H6" s="27"/>
      <c r="I6" s="27"/>
      <c r="J6" s="27"/>
      <c r="K6" s="27"/>
      <c r="L6" s="27"/>
      <c r="M6" s="27"/>
      <c r="N6" s="27"/>
      <c r="O6" s="27"/>
      <c r="P6" s="27"/>
      <c r="Q6" s="27"/>
      <c r="R6" s="27"/>
      <c r="S6" s="27"/>
      <c r="T6" s="27"/>
      <c r="U6" s="27"/>
      <c r="V6" s="27"/>
      <c r="W6" s="27"/>
      <c r="X6" s="27"/>
      <c r="Y6" s="27"/>
      <c r="Z6" s="27"/>
    </row>
    <row r="7" spans="1:26">
      <c r="A7" s="29" t="s">
        <v>1245</v>
      </c>
      <c r="B7" s="29"/>
      <c r="C7" s="30"/>
      <c r="D7" s="27"/>
      <c r="E7" s="27"/>
      <c r="F7" s="27"/>
      <c r="G7" s="27"/>
      <c r="H7" s="27"/>
      <c r="I7" s="27"/>
      <c r="J7" s="27"/>
      <c r="K7" s="27"/>
      <c r="L7" s="27"/>
      <c r="M7" s="27"/>
      <c r="N7" s="27"/>
      <c r="O7" s="27"/>
      <c r="P7" s="27"/>
      <c r="Q7" s="27"/>
      <c r="R7" s="27"/>
      <c r="S7" s="27"/>
      <c r="T7" s="27"/>
      <c r="U7" s="27"/>
      <c r="V7" s="27"/>
      <c r="W7" s="27"/>
      <c r="X7" s="27"/>
      <c r="Y7" s="27"/>
      <c r="Z7" s="27"/>
    </row>
    <row r="8" spans="1:26">
      <c r="A8" s="27"/>
      <c r="B8" s="27"/>
      <c r="C8" s="30"/>
      <c r="D8" s="27"/>
      <c r="E8" s="27"/>
      <c r="F8" s="27"/>
      <c r="G8" s="27"/>
      <c r="H8" s="27"/>
      <c r="I8" s="27"/>
      <c r="J8" s="27"/>
      <c r="K8" s="27"/>
      <c r="L8" s="27"/>
      <c r="M8" s="27"/>
      <c r="N8" s="27"/>
      <c r="O8" s="27"/>
      <c r="P8" s="27"/>
      <c r="Q8" s="27"/>
      <c r="R8" s="27"/>
      <c r="S8" s="27"/>
      <c r="T8" s="27"/>
      <c r="U8" s="27"/>
      <c r="V8" s="27"/>
      <c r="W8" s="27"/>
      <c r="X8" s="27"/>
      <c r="Y8" s="27"/>
      <c r="Z8" s="27"/>
    </row>
    <row r="9" spans="1:26">
      <c r="A9" s="7" t="s">
        <v>1246</v>
      </c>
      <c r="B9" s="7"/>
      <c r="C9" s="31"/>
      <c r="D9" s="7"/>
      <c r="E9" s="27"/>
      <c r="F9" s="27"/>
      <c r="G9" s="27"/>
      <c r="H9" s="27"/>
      <c r="I9" s="27"/>
      <c r="J9" s="27"/>
      <c r="K9" s="27"/>
      <c r="L9" s="27"/>
      <c r="M9" s="27"/>
      <c r="N9" s="27"/>
      <c r="O9" s="27"/>
      <c r="P9" s="27"/>
      <c r="Q9" s="27"/>
      <c r="R9" s="27"/>
      <c r="S9" s="27"/>
      <c r="T9" s="27"/>
      <c r="U9" s="27"/>
      <c r="V9" s="27"/>
      <c r="W9" s="27"/>
      <c r="X9" s="27"/>
      <c r="Y9" s="27"/>
      <c r="Z9" s="27"/>
    </row>
    <row r="10" spans="1:26">
      <c r="A10" s="7" t="s">
        <v>1247</v>
      </c>
      <c r="B10" s="7" t="s">
        <v>1248</v>
      </c>
      <c r="C10" s="7" t="s">
        <v>1249</v>
      </c>
      <c r="D10" s="7" t="s">
        <v>1250</v>
      </c>
      <c r="E10" s="27"/>
      <c r="F10" s="27"/>
      <c r="G10" s="27"/>
      <c r="H10" s="27"/>
      <c r="I10" s="27"/>
      <c r="J10" s="27"/>
      <c r="K10" s="27"/>
      <c r="L10" s="27"/>
      <c r="M10" s="27"/>
      <c r="N10" s="27"/>
      <c r="O10" s="27"/>
      <c r="P10" s="27"/>
      <c r="Q10" s="27"/>
      <c r="R10" s="27"/>
      <c r="S10" s="27"/>
      <c r="T10" s="27"/>
      <c r="U10" s="27"/>
      <c r="V10" s="27"/>
      <c r="W10" s="27"/>
      <c r="X10" s="27"/>
      <c r="Y10" s="27"/>
      <c r="Z10" s="27"/>
    </row>
    <row r="11" spans="1:26">
      <c r="A11" s="32" t="s">
        <v>953</v>
      </c>
      <c r="B11" s="32">
        <v>4</v>
      </c>
      <c r="C11" s="6">
        <v>0.15</v>
      </c>
      <c r="D11" s="32"/>
      <c r="E11" s="27"/>
      <c r="F11" s="27"/>
      <c r="G11" s="27"/>
      <c r="H11" s="27"/>
      <c r="I11" s="27"/>
      <c r="J11" s="27"/>
      <c r="K11" s="27"/>
      <c r="L11" s="27"/>
      <c r="M11" s="27"/>
      <c r="N11" s="27"/>
      <c r="O11" s="27"/>
      <c r="P11" s="27"/>
      <c r="Q11" s="27"/>
      <c r="R11" s="27"/>
      <c r="S11" s="27"/>
      <c r="T11" s="27"/>
      <c r="U11" s="27"/>
      <c r="V11" s="27"/>
      <c r="W11" s="27"/>
      <c r="X11" s="27"/>
      <c r="Y11" s="27"/>
      <c r="Z11" s="27"/>
    </row>
    <row r="12" spans="1:26">
      <c r="A12" s="32" t="s">
        <v>895</v>
      </c>
      <c r="B12" s="32">
        <v>2</v>
      </c>
      <c r="C12" s="6">
        <v>0.08</v>
      </c>
      <c r="D12" s="32" t="s">
        <v>76</v>
      </c>
      <c r="E12" s="27"/>
      <c r="F12" s="27"/>
      <c r="G12" s="27"/>
      <c r="H12" s="27"/>
      <c r="I12" s="27"/>
      <c r="J12" s="27"/>
      <c r="K12" s="27"/>
      <c r="L12" s="27"/>
      <c r="M12" s="27"/>
      <c r="N12" s="27"/>
      <c r="O12" s="27"/>
      <c r="P12" s="27"/>
      <c r="Q12" s="27"/>
      <c r="R12" s="27"/>
      <c r="S12" s="27"/>
      <c r="T12" s="27"/>
      <c r="U12" s="27"/>
      <c r="V12" s="27"/>
      <c r="W12" s="27"/>
      <c r="X12" s="27"/>
      <c r="Y12" s="27"/>
      <c r="Z12" s="27"/>
    </row>
    <row r="13" spans="1:26">
      <c r="A13" s="32" t="s">
        <v>1121</v>
      </c>
      <c r="B13" s="32">
        <v>4</v>
      </c>
      <c r="C13" s="6">
        <v>0.15</v>
      </c>
      <c r="D13" s="32" t="s">
        <v>85</v>
      </c>
      <c r="E13" s="27"/>
      <c r="F13" s="27"/>
      <c r="G13" s="27"/>
      <c r="H13" s="27"/>
      <c r="I13" s="27"/>
      <c r="J13" s="27"/>
      <c r="K13" s="27"/>
      <c r="L13" s="27"/>
      <c r="M13" s="27"/>
      <c r="N13" s="27"/>
      <c r="O13" s="27"/>
      <c r="P13" s="27"/>
      <c r="Q13" s="27"/>
      <c r="R13" s="27"/>
      <c r="S13" s="27"/>
      <c r="T13" s="27"/>
      <c r="U13" s="27"/>
      <c r="V13" s="27"/>
      <c r="W13" s="27"/>
      <c r="X13" s="27"/>
      <c r="Y13" s="27"/>
      <c r="Z13" s="27"/>
    </row>
    <row r="14" spans="1:26">
      <c r="A14" s="32" t="s">
        <v>1128</v>
      </c>
      <c r="B14" s="32">
        <v>3</v>
      </c>
      <c r="C14" s="6">
        <v>0.12</v>
      </c>
      <c r="D14" s="32" t="s">
        <v>76</v>
      </c>
      <c r="E14" s="27"/>
      <c r="F14" s="27"/>
      <c r="G14" s="27"/>
      <c r="H14" s="27"/>
      <c r="I14" s="27"/>
      <c r="J14" s="27"/>
      <c r="K14" s="27"/>
      <c r="L14" s="27"/>
      <c r="M14" s="27"/>
      <c r="N14" s="27"/>
      <c r="O14" s="27"/>
      <c r="P14" s="27"/>
      <c r="Q14" s="27"/>
      <c r="R14" s="27"/>
      <c r="S14" s="27"/>
      <c r="T14" s="27"/>
      <c r="U14" s="27"/>
      <c r="V14" s="27"/>
      <c r="W14" s="27"/>
      <c r="X14" s="27"/>
      <c r="Y14" s="27"/>
      <c r="Z14" s="27"/>
    </row>
    <row r="15" spans="1:26">
      <c r="A15" s="32" t="s">
        <v>1183</v>
      </c>
      <c r="B15" s="32">
        <v>2</v>
      </c>
      <c r="C15" s="6">
        <v>0.08</v>
      </c>
      <c r="D15" s="32" t="s">
        <v>76</v>
      </c>
      <c r="E15" s="27"/>
      <c r="F15" s="27"/>
      <c r="G15" s="27"/>
      <c r="H15" s="27"/>
      <c r="I15" s="27"/>
      <c r="J15" s="27"/>
      <c r="K15" s="27"/>
      <c r="L15" s="27"/>
      <c r="M15" s="27"/>
      <c r="N15" s="27"/>
      <c r="O15" s="27"/>
      <c r="P15" s="27"/>
      <c r="Q15" s="27"/>
      <c r="R15" s="27"/>
      <c r="S15" s="27"/>
      <c r="T15" s="27"/>
      <c r="U15" s="27"/>
      <c r="V15" s="27"/>
      <c r="W15" s="27"/>
      <c r="X15" s="27"/>
      <c r="Y15" s="27"/>
      <c r="Z15" s="27"/>
    </row>
    <row r="16" spans="1:26">
      <c r="A16" s="32" t="s">
        <v>1180</v>
      </c>
      <c r="B16" s="32">
        <v>1</v>
      </c>
      <c r="C16" s="6">
        <v>0.04</v>
      </c>
      <c r="D16" s="32" t="s">
        <v>85</v>
      </c>
      <c r="E16" s="27"/>
      <c r="F16" s="27"/>
      <c r="G16" s="27"/>
      <c r="H16" s="27"/>
      <c r="I16" s="27"/>
      <c r="J16" s="27"/>
      <c r="K16" s="27"/>
      <c r="L16" s="27"/>
      <c r="M16" s="27"/>
      <c r="N16" s="27"/>
      <c r="O16" s="27"/>
      <c r="P16" s="27"/>
      <c r="Q16" s="27"/>
      <c r="R16" s="27"/>
      <c r="S16" s="27"/>
      <c r="T16" s="27"/>
      <c r="U16" s="27"/>
      <c r="V16" s="27"/>
      <c r="W16" s="27"/>
      <c r="X16" s="27"/>
      <c r="Y16" s="27"/>
      <c r="Z16" s="27"/>
    </row>
    <row r="17" spans="1:26">
      <c r="A17" s="32" t="s">
        <v>1159</v>
      </c>
      <c r="B17" s="32">
        <v>1</v>
      </c>
      <c r="C17" s="6">
        <v>0.04</v>
      </c>
      <c r="D17" s="32" t="s">
        <v>76</v>
      </c>
      <c r="E17" s="27"/>
      <c r="F17" s="27"/>
      <c r="G17" s="27"/>
      <c r="H17" s="27"/>
      <c r="I17" s="27"/>
      <c r="J17" s="27"/>
      <c r="K17" s="27"/>
      <c r="L17" s="27"/>
      <c r="M17" s="27"/>
      <c r="N17" s="27"/>
      <c r="O17" s="27"/>
      <c r="P17" s="27"/>
      <c r="Q17" s="27"/>
      <c r="R17" s="27"/>
      <c r="S17" s="27"/>
      <c r="T17" s="27"/>
      <c r="U17" s="27"/>
      <c r="V17" s="27"/>
      <c r="W17" s="27"/>
      <c r="X17" s="27"/>
      <c r="Y17" s="27"/>
      <c r="Z17" s="27"/>
    </row>
    <row r="18" spans="1:26" ht="15" customHeight="1">
      <c r="A18" s="32" t="s">
        <v>1193</v>
      </c>
      <c r="B18" s="32">
        <v>1</v>
      </c>
      <c r="C18" s="6">
        <v>0.04</v>
      </c>
      <c r="D18" s="32" t="s">
        <v>72</v>
      </c>
      <c r="E18" s="27"/>
      <c r="F18" s="27"/>
      <c r="G18" s="27"/>
      <c r="H18" s="27"/>
      <c r="I18" s="27"/>
      <c r="J18" s="27"/>
      <c r="K18" s="27"/>
      <c r="L18" s="27"/>
      <c r="M18" s="27"/>
      <c r="N18" s="27"/>
      <c r="O18" s="27"/>
      <c r="P18" s="27"/>
      <c r="Q18" s="27"/>
      <c r="R18" s="27"/>
      <c r="S18" s="27"/>
      <c r="T18" s="27"/>
      <c r="U18" s="27"/>
      <c r="V18" s="27"/>
      <c r="W18" s="27"/>
      <c r="X18" s="27"/>
      <c r="Y18" s="27"/>
      <c r="Z18" s="27"/>
    </row>
    <row r="19" spans="1:26">
      <c r="A19" s="32" t="s">
        <v>898</v>
      </c>
      <c r="B19" s="32">
        <v>1</v>
      </c>
      <c r="C19" s="6">
        <v>0.04</v>
      </c>
      <c r="D19" s="32" t="s">
        <v>85</v>
      </c>
      <c r="E19" s="27"/>
      <c r="F19" s="27"/>
      <c r="G19" s="27"/>
      <c r="H19" s="27"/>
      <c r="I19" s="27"/>
      <c r="J19" s="27"/>
      <c r="K19" s="27"/>
      <c r="L19" s="27"/>
      <c r="M19" s="27"/>
      <c r="N19" s="27"/>
      <c r="O19" s="27"/>
      <c r="P19" s="27"/>
      <c r="Q19" s="27"/>
      <c r="R19" s="27"/>
      <c r="S19" s="27"/>
      <c r="T19" s="27"/>
      <c r="U19" s="27"/>
      <c r="V19" s="27"/>
      <c r="W19" s="27"/>
      <c r="X19" s="27"/>
      <c r="Y19" s="27"/>
      <c r="Z19" s="27"/>
    </row>
    <row r="20" spans="1:26">
      <c r="A20" s="32" t="s">
        <v>1141</v>
      </c>
      <c r="B20" s="32">
        <v>1</v>
      </c>
      <c r="C20" s="6">
        <v>0.04</v>
      </c>
      <c r="D20" s="32" t="s">
        <v>85</v>
      </c>
      <c r="E20" s="27"/>
      <c r="F20" s="27"/>
      <c r="G20" s="27"/>
      <c r="H20" s="27"/>
      <c r="I20" s="27"/>
      <c r="J20" s="27"/>
      <c r="K20" s="27"/>
      <c r="L20" s="27"/>
      <c r="M20" s="27"/>
      <c r="N20" s="27"/>
      <c r="O20" s="27"/>
      <c r="P20" s="27"/>
      <c r="Q20" s="27"/>
      <c r="R20" s="27"/>
      <c r="S20" s="27"/>
      <c r="T20" s="27"/>
      <c r="U20" s="27"/>
      <c r="V20" s="27"/>
      <c r="W20" s="27"/>
      <c r="X20" s="27"/>
      <c r="Y20" s="27"/>
      <c r="Z20" s="27"/>
    </row>
    <row r="21" spans="1:26">
      <c r="A21" s="32" t="s">
        <v>1174</v>
      </c>
      <c r="B21" s="32">
        <v>1</v>
      </c>
      <c r="C21" s="6">
        <v>0.04</v>
      </c>
      <c r="D21" s="32" t="s">
        <v>887</v>
      </c>
      <c r="E21" s="27"/>
      <c r="F21" s="27"/>
      <c r="G21" s="27"/>
      <c r="H21" s="27"/>
      <c r="I21" s="27"/>
      <c r="J21" s="27"/>
      <c r="K21" s="27"/>
      <c r="L21" s="27"/>
      <c r="M21" s="27"/>
      <c r="N21" s="27"/>
      <c r="O21" s="27"/>
      <c r="P21" s="27"/>
      <c r="Q21" s="27"/>
      <c r="R21" s="27"/>
      <c r="S21" s="27"/>
      <c r="T21" s="27"/>
      <c r="U21" s="27"/>
      <c r="V21" s="27"/>
      <c r="W21" s="27"/>
      <c r="X21" s="27"/>
      <c r="Y21" s="27"/>
      <c r="Z21" s="27"/>
    </row>
    <row r="22" spans="1:26">
      <c r="A22" s="32" t="s">
        <v>1166</v>
      </c>
      <c r="B22" s="32">
        <v>1</v>
      </c>
      <c r="C22" s="6">
        <v>0.04</v>
      </c>
      <c r="D22" s="32" t="s">
        <v>72</v>
      </c>
      <c r="E22" s="27"/>
      <c r="F22" s="27"/>
      <c r="G22" s="27"/>
      <c r="H22" s="27"/>
      <c r="I22" s="27"/>
      <c r="J22" s="27"/>
      <c r="K22" s="27"/>
      <c r="L22" s="27"/>
      <c r="M22" s="27"/>
      <c r="N22" s="27"/>
      <c r="O22" s="27"/>
      <c r="P22" s="27"/>
      <c r="Q22" s="27"/>
      <c r="R22" s="27"/>
      <c r="S22" s="27"/>
      <c r="T22" s="27"/>
      <c r="U22" s="27"/>
      <c r="V22" s="27"/>
      <c r="W22" s="27"/>
      <c r="X22" s="27"/>
      <c r="Y22" s="27"/>
      <c r="Z22" s="27"/>
    </row>
    <row r="23" spans="1:26">
      <c r="A23" s="35" t="s">
        <v>1251</v>
      </c>
      <c r="B23" s="35">
        <v>26</v>
      </c>
      <c r="C23" s="36">
        <v>1</v>
      </c>
      <c r="D23" s="35"/>
      <c r="E23" s="27"/>
      <c r="F23" s="27"/>
      <c r="G23" s="27"/>
      <c r="H23" s="27"/>
      <c r="I23" s="27"/>
      <c r="J23" s="27"/>
      <c r="K23" s="27"/>
      <c r="L23" s="27"/>
      <c r="M23" s="27"/>
      <c r="N23" s="27"/>
      <c r="O23" s="27"/>
      <c r="P23" s="27"/>
      <c r="Q23" s="27"/>
      <c r="R23" s="27"/>
      <c r="S23" s="27"/>
      <c r="T23" s="27"/>
      <c r="U23" s="27"/>
      <c r="V23" s="27"/>
      <c r="W23" s="27"/>
      <c r="X23" s="27"/>
      <c r="Y23" s="27"/>
      <c r="Z23" s="27"/>
    </row>
    <row r="24" spans="1:26">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spans="1:26">
      <c r="A25" s="7" t="s">
        <v>1252</v>
      </c>
      <c r="B25" s="7"/>
      <c r="C25" s="31"/>
      <c r="D25" s="33"/>
      <c r="E25" s="27"/>
      <c r="F25" s="27"/>
      <c r="G25" s="27"/>
      <c r="H25" s="27"/>
      <c r="I25" s="27"/>
      <c r="J25" s="27"/>
      <c r="K25" s="27"/>
      <c r="L25" s="27"/>
      <c r="M25" s="27"/>
      <c r="N25" s="27"/>
      <c r="O25" s="27"/>
      <c r="P25" s="27"/>
      <c r="Q25" s="27"/>
      <c r="R25" s="27"/>
      <c r="S25" s="27"/>
      <c r="T25" s="27"/>
      <c r="U25" s="27"/>
      <c r="V25" s="27"/>
      <c r="W25" s="27"/>
      <c r="X25" s="27"/>
      <c r="Y25" s="27"/>
      <c r="Z25" s="27"/>
    </row>
    <row r="26" spans="1:26">
      <c r="A26" s="7" t="s">
        <v>1250</v>
      </c>
      <c r="B26" s="7" t="s">
        <v>1248</v>
      </c>
      <c r="C26" s="7" t="s">
        <v>1253</v>
      </c>
      <c r="D26" s="33"/>
      <c r="E26" s="27"/>
      <c r="F26" s="27"/>
      <c r="G26" s="27"/>
      <c r="H26" s="27"/>
      <c r="I26" s="27"/>
      <c r="J26" s="27"/>
      <c r="K26" s="27"/>
      <c r="L26" s="27"/>
      <c r="M26" s="27"/>
      <c r="N26" s="27"/>
      <c r="O26" s="27"/>
      <c r="P26" s="27"/>
      <c r="Q26" s="27"/>
      <c r="R26" s="27"/>
      <c r="S26" s="27"/>
      <c r="T26" s="27"/>
      <c r="U26" s="27"/>
      <c r="V26" s="27"/>
      <c r="W26" s="27"/>
      <c r="X26" s="27"/>
      <c r="Y26" s="27"/>
      <c r="Z26" s="27"/>
    </row>
    <row r="27" spans="1:26">
      <c r="A27" s="32" t="s">
        <v>85</v>
      </c>
      <c r="B27" s="32">
        <v>8</v>
      </c>
      <c r="C27" s="6">
        <v>0.31</v>
      </c>
      <c r="D27" s="33"/>
      <c r="E27" s="27"/>
      <c r="F27" s="27"/>
      <c r="G27" s="27"/>
      <c r="H27" s="27"/>
      <c r="I27" s="27"/>
      <c r="J27" s="27"/>
      <c r="K27" s="27"/>
      <c r="L27" s="27"/>
      <c r="M27" s="27"/>
      <c r="N27" s="27"/>
      <c r="O27" s="27"/>
      <c r="P27" s="27"/>
      <c r="Q27" s="27"/>
      <c r="R27" s="27"/>
      <c r="S27" s="27"/>
      <c r="T27" s="27"/>
      <c r="U27" s="27"/>
      <c r="V27" s="27"/>
      <c r="W27" s="27"/>
      <c r="X27" s="27"/>
      <c r="Y27" s="27"/>
      <c r="Z27" s="27"/>
    </row>
    <row r="28" spans="1:26">
      <c r="A28" s="32" t="s">
        <v>76</v>
      </c>
      <c r="B28" s="32">
        <v>9</v>
      </c>
      <c r="C28" s="6">
        <v>0.35</v>
      </c>
      <c r="D28" s="33"/>
      <c r="E28" s="27"/>
      <c r="F28" s="27"/>
      <c r="G28" s="27"/>
      <c r="H28" s="27"/>
      <c r="I28" s="27"/>
      <c r="J28" s="27"/>
      <c r="K28" s="27"/>
      <c r="L28" s="27"/>
      <c r="M28" s="27"/>
      <c r="N28" s="27"/>
      <c r="O28" s="27"/>
      <c r="P28" s="27"/>
      <c r="Q28" s="27"/>
      <c r="R28" s="27"/>
      <c r="S28" s="27"/>
      <c r="T28" s="27"/>
      <c r="U28" s="27"/>
      <c r="V28" s="27"/>
      <c r="W28" s="27"/>
      <c r="X28" s="27"/>
      <c r="Y28" s="27"/>
      <c r="Z28" s="27"/>
    </row>
    <row r="29" spans="1:26">
      <c r="A29" s="32" t="s">
        <v>72</v>
      </c>
      <c r="B29" s="32">
        <v>3</v>
      </c>
      <c r="C29" s="6">
        <v>0.12</v>
      </c>
      <c r="D29" s="33"/>
      <c r="E29" s="27"/>
      <c r="F29" s="27"/>
      <c r="G29" s="27"/>
      <c r="H29" s="27"/>
      <c r="I29" s="27"/>
      <c r="J29" s="27"/>
      <c r="K29" s="27"/>
      <c r="L29" s="27"/>
      <c r="M29" s="27"/>
      <c r="N29" s="27"/>
      <c r="O29" s="27"/>
      <c r="P29" s="27"/>
      <c r="Q29" s="27"/>
      <c r="R29" s="27"/>
      <c r="S29" s="27"/>
      <c r="T29" s="27"/>
      <c r="U29" s="27"/>
      <c r="V29" s="27"/>
      <c r="W29" s="27"/>
      <c r="X29" s="27"/>
      <c r="Y29" s="27"/>
      <c r="Z29" s="27"/>
    </row>
    <row r="30" spans="1:26">
      <c r="A30" s="32" t="s">
        <v>887</v>
      </c>
      <c r="B30" s="32">
        <v>1</v>
      </c>
      <c r="C30" s="6">
        <v>0.04</v>
      </c>
      <c r="D30" s="33"/>
      <c r="E30" s="27"/>
      <c r="F30" s="27"/>
      <c r="G30" s="27"/>
      <c r="H30" s="27"/>
      <c r="I30" s="27"/>
      <c r="J30" s="27"/>
      <c r="K30" s="27"/>
      <c r="L30" s="27"/>
      <c r="M30" s="27"/>
      <c r="N30" s="27"/>
      <c r="O30" s="27"/>
      <c r="P30" s="27"/>
      <c r="Q30" s="27"/>
      <c r="R30" s="27"/>
      <c r="S30" s="27"/>
      <c r="T30" s="27"/>
      <c r="U30" s="27"/>
      <c r="V30" s="27"/>
      <c r="W30" s="27"/>
      <c r="X30" s="27"/>
      <c r="Y30" s="27"/>
      <c r="Z30" s="27"/>
    </row>
    <row r="31" spans="1:26">
      <c r="A31" s="32" t="s">
        <v>1254</v>
      </c>
      <c r="B31" s="32">
        <v>4</v>
      </c>
      <c r="C31" s="6">
        <v>0.15</v>
      </c>
      <c r="D31" s="33"/>
      <c r="E31" s="27"/>
      <c r="F31" s="27"/>
      <c r="G31" s="27"/>
      <c r="H31" s="27"/>
      <c r="I31" s="27"/>
      <c r="J31" s="27"/>
      <c r="K31" s="27"/>
      <c r="L31" s="27"/>
      <c r="M31" s="27"/>
      <c r="N31" s="27"/>
      <c r="O31" s="27"/>
      <c r="P31" s="27"/>
      <c r="Q31" s="27"/>
      <c r="R31" s="27"/>
      <c r="S31" s="27"/>
      <c r="T31" s="27"/>
      <c r="U31" s="27"/>
      <c r="V31" s="27"/>
      <c r="W31" s="27"/>
      <c r="X31" s="27"/>
      <c r="Y31" s="27"/>
      <c r="Z31" s="27"/>
    </row>
    <row r="32" spans="1:26">
      <c r="A32" s="33"/>
      <c r="B32" s="33"/>
      <c r="C32" s="34"/>
      <c r="D32" s="33"/>
      <c r="E32" s="33"/>
      <c r="F32" s="33"/>
      <c r="G32" s="33"/>
      <c r="H32" s="33"/>
      <c r="I32" s="33"/>
      <c r="J32" s="33"/>
      <c r="K32" s="33"/>
      <c r="L32" s="33"/>
      <c r="M32" s="33"/>
      <c r="N32" s="33"/>
      <c r="O32" s="33"/>
      <c r="P32" s="33"/>
      <c r="Q32" s="33"/>
      <c r="R32" s="33"/>
      <c r="S32" s="33"/>
      <c r="T32" s="33"/>
      <c r="U32" s="33"/>
      <c r="V32" s="33"/>
      <c r="W32" s="33"/>
      <c r="X32" s="33"/>
      <c r="Y32" s="33"/>
      <c r="Z32" s="33"/>
    </row>
    <row r="33" spans="1:26">
      <c r="A33" s="7" t="s">
        <v>1255</v>
      </c>
      <c r="B33" s="7"/>
      <c r="C33" s="31"/>
      <c r="D33" s="7"/>
      <c r="E33" s="31"/>
      <c r="F33" s="7"/>
      <c r="G33" s="27"/>
      <c r="H33" s="27"/>
      <c r="I33" s="27"/>
      <c r="J33" s="27"/>
      <c r="K33" s="27"/>
      <c r="L33" s="27"/>
      <c r="M33" s="27"/>
      <c r="N33" s="27"/>
      <c r="O33" s="27"/>
      <c r="P33" s="27"/>
      <c r="Q33" s="27"/>
      <c r="R33" s="27"/>
      <c r="S33" s="27"/>
      <c r="T33" s="27"/>
      <c r="U33" s="27"/>
      <c r="V33" s="27"/>
      <c r="W33" s="27"/>
      <c r="X33" s="27"/>
      <c r="Y33" s="27"/>
      <c r="Z33" s="27"/>
    </row>
    <row r="34" spans="1:26">
      <c r="A34" s="7" t="s">
        <v>1256</v>
      </c>
      <c r="B34" s="7" t="s">
        <v>1257</v>
      </c>
      <c r="C34" s="7" t="s">
        <v>1258</v>
      </c>
      <c r="D34" s="7" t="s">
        <v>1259</v>
      </c>
      <c r="E34" s="7" t="s">
        <v>1260</v>
      </c>
      <c r="F34" s="7" t="s">
        <v>59</v>
      </c>
      <c r="G34" s="27"/>
      <c r="H34" s="27"/>
      <c r="I34" s="27"/>
      <c r="J34" s="27"/>
      <c r="K34" s="27"/>
      <c r="L34" s="27"/>
      <c r="M34" s="27"/>
      <c r="N34" s="27"/>
      <c r="O34" s="27"/>
      <c r="P34" s="27"/>
      <c r="Q34" s="27"/>
      <c r="R34" s="27"/>
      <c r="S34" s="27"/>
      <c r="T34" s="27"/>
      <c r="U34" s="27"/>
      <c r="V34" s="27"/>
      <c r="W34" s="27"/>
      <c r="X34" s="27"/>
      <c r="Y34" s="27"/>
      <c r="Z34" s="27"/>
    </row>
    <row r="35" spans="1:26">
      <c r="A35" s="32">
        <v>1</v>
      </c>
      <c r="B35" s="32" t="s">
        <v>1121</v>
      </c>
      <c r="C35" s="32" t="s">
        <v>1328</v>
      </c>
      <c r="D35" s="32">
        <v>4</v>
      </c>
      <c r="E35" s="32" t="s">
        <v>30</v>
      </c>
      <c r="F35" s="32" t="s">
        <v>15</v>
      </c>
      <c r="G35" s="27"/>
      <c r="H35" s="27"/>
      <c r="I35" s="27"/>
      <c r="J35" s="27"/>
      <c r="K35" s="27"/>
      <c r="L35" s="27"/>
      <c r="M35" s="27"/>
      <c r="N35" s="27"/>
      <c r="O35" s="27"/>
      <c r="P35" s="27"/>
      <c r="Q35" s="27"/>
      <c r="R35" s="27"/>
      <c r="S35" s="27"/>
      <c r="T35" s="27"/>
      <c r="U35" s="27"/>
      <c r="V35" s="27"/>
      <c r="W35" s="27"/>
      <c r="X35" s="27"/>
      <c r="Y35" s="27"/>
      <c r="Z35" s="27"/>
    </row>
    <row r="36" spans="1:26">
      <c r="A36" s="32">
        <v>2</v>
      </c>
      <c r="B36" s="32" t="s">
        <v>1128</v>
      </c>
      <c r="C36" s="32" t="s">
        <v>1329</v>
      </c>
      <c r="D36" s="32">
        <v>3</v>
      </c>
      <c r="E36" s="32" t="s">
        <v>30</v>
      </c>
      <c r="F36" s="32" t="s">
        <v>15</v>
      </c>
      <c r="G36" s="27"/>
      <c r="H36" s="27"/>
      <c r="I36" s="27"/>
      <c r="J36" s="27"/>
      <c r="K36" s="27"/>
      <c r="L36" s="27"/>
      <c r="M36" s="27"/>
      <c r="N36" s="27"/>
      <c r="O36" s="27"/>
      <c r="P36" s="27"/>
      <c r="Q36" s="27"/>
      <c r="R36" s="27"/>
      <c r="S36" s="27"/>
      <c r="T36" s="27"/>
      <c r="U36" s="27"/>
      <c r="V36" s="27"/>
      <c r="W36" s="27"/>
      <c r="X36" s="27"/>
      <c r="Y36" s="27"/>
      <c r="Z36" s="27"/>
    </row>
    <row r="37" spans="1:26">
      <c r="A37" s="32">
        <v>3</v>
      </c>
      <c r="B37" s="32" t="s">
        <v>895</v>
      </c>
      <c r="C37" s="32" t="s">
        <v>1330</v>
      </c>
      <c r="D37" s="32">
        <v>2</v>
      </c>
      <c r="E37" s="32" t="s">
        <v>30</v>
      </c>
      <c r="F37" s="32" t="s">
        <v>12</v>
      </c>
      <c r="G37" s="27"/>
      <c r="H37" s="27"/>
      <c r="I37" s="27"/>
      <c r="J37" s="27"/>
      <c r="K37" s="27"/>
      <c r="L37" s="27"/>
      <c r="M37" s="27"/>
      <c r="N37" s="27"/>
      <c r="O37" s="27"/>
      <c r="P37" s="27"/>
      <c r="Q37" s="27"/>
      <c r="R37" s="27"/>
      <c r="S37" s="27"/>
      <c r="T37" s="27"/>
      <c r="U37" s="27"/>
      <c r="V37" s="27"/>
      <c r="W37" s="27"/>
      <c r="X37" s="27"/>
      <c r="Y37" s="27"/>
      <c r="Z37" s="27"/>
    </row>
    <row r="38" spans="1:26">
      <c r="A38" s="32">
        <v>4</v>
      </c>
      <c r="B38" s="32" t="s">
        <v>1183</v>
      </c>
      <c r="C38" s="32" t="s">
        <v>1331</v>
      </c>
      <c r="D38" s="32">
        <v>2</v>
      </c>
      <c r="E38" s="32" t="s">
        <v>30</v>
      </c>
      <c r="F38" s="32" t="s">
        <v>15</v>
      </c>
      <c r="G38" s="27"/>
      <c r="H38" s="27"/>
      <c r="I38" s="27"/>
      <c r="J38" s="27"/>
      <c r="K38" s="27"/>
      <c r="L38" s="27"/>
      <c r="M38" s="27"/>
      <c r="N38" s="27"/>
      <c r="O38" s="27"/>
      <c r="P38" s="27"/>
      <c r="Q38" s="27"/>
      <c r="R38" s="27"/>
      <c r="S38" s="27"/>
      <c r="T38" s="27"/>
      <c r="U38" s="27"/>
      <c r="V38" s="27"/>
      <c r="W38" s="27"/>
      <c r="X38" s="27"/>
      <c r="Y38" s="27"/>
      <c r="Z38" s="27"/>
    </row>
    <row r="39" spans="1:26">
      <c r="A39" s="32">
        <v>5</v>
      </c>
      <c r="B39" s="32" t="s">
        <v>898</v>
      </c>
      <c r="C39" s="32" t="s">
        <v>1332</v>
      </c>
      <c r="D39" s="32">
        <v>1</v>
      </c>
      <c r="E39" s="32" t="s">
        <v>30</v>
      </c>
      <c r="F39" s="32" t="s">
        <v>12</v>
      </c>
      <c r="G39" s="27"/>
      <c r="H39" s="27"/>
      <c r="I39" s="27"/>
      <c r="J39" s="27"/>
      <c r="K39" s="27"/>
      <c r="L39" s="27"/>
      <c r="M39" s="27"/>
      <c r="N39" s="27"/>
      <c r="O39" s="27"/>
      <c r="P39" s="27"/>
      <c r="Q39" s="27"/>
      <c r="R39" s="27"/>
      <c r="S39" s="27"/>
      <c r="T39" s="27"/>
      <c r="U39" s="27"/>
      <c r="V39" s="27"/>
      <c r="W39" s="27"/>
      <c r="X39" s="27"/>
      <c r="Y39" s="27"/>
      <c r="Z39" s="27"/>
    </row>
    <row r="40" spans="1:26">
      <c r="A40" s="32">
        <v>6</v>
      </c>
      <c r="B40" s="32" t="s">
        <v>1141</v>
      </c>
      <c r="C40" s="32" t="s">
        <v>1333</v>
      </c>
      <c r="D40" s="32">
        <v>1</v>
      </c>
      <c r="E40" s="32" t="s">
        <v>30</v>
      </c>
      <c r="F40" s="32" t="s">
        <v>9</v>
      </c>
      <c r="G40" s="27"/>
      <c r="H40" s="27"/>
      <c r="I40" s="27"/>
      <c r="J40" s="27"/>
      <c r="K40" s="27"/>
      <c r="L40" s="27"/>
      <c r="M40" s="27"/>
      <c r="N40" s="27"/>
      <c r="O40" s="27"/>
      <c r="P40" s="27"/>
      <c r="Q40" s="27"/>
      <c r="R40" s="27"/>
      <c r="S40" s="27"/>
      <c r="T40" s="27"/>
      <c r="U40" s="27"/>
      <c r="V40" s="27"/>
      <c r="W40" s="27"/>
      <c r="X40" s="27"/>
      <c r="Y40" s="27"/>
      <c r="Z40" s="27"/>
    </row>
    <row r="41" spans="1:26">
      <c r="A41" s="32">
        <v>7</v>
      </c>
      <c r="B41" s="32" t="s">
        <v>1180</v>
      </c>
      <c r="C41" s="32" t="s">
        <v>1334</v>
      </c>
      <c r="D41" s="32">
        <v>1</v>
      </c>
      <c r="E41" s="32" t="s">
        <v>30</v>
      </c>
      <c r="F41" s="32" t="s">
        <v>9</v>
      </c>
      <c r="G41" s="27"/>
      <c r="H41" s="27"/>
      <c r="I41" s="27"/>
      <c r="J41" s="27"/>
      <c r="K41" s="27"/>
      <c r="L41" s="27"/>
      <c r="M41" s="27"/>
      <c r="N41" s="27"/>
      <c r="O41" s="27"/>
      <c r="P41" s="27"/>
      <c r="Q41" s="27"/>
      <c r="R41" s="27"/>
      <c r="S41" s="27"/>
      <c r="T41" s="27"/>
      <c r="U41" s="27"/>
      <c r="V41" s="27"/>
      <c r="W41" s="27"/>
      <c r="X41" s="27"/>
      <c r="Y41" s="27"/>
      <c r="Z41" s="27"/>
    </row>
    <row r="42" spans="1:26">
      <c r="A42" s="32">
        <v>8</v>
      </c>
      <c r="B42" s="32" t="s">
        <v>1159</v>
      </c>
      <c r="C42" s="32" t="s">
        <v>1335</v>
      </c>
      <c r="D42" s="32">
        <v>1</v>
      </c>
      <c r="E42" s="32" t="s">
        <v>30</v>
      </c>
      <c r="F42" s="32" t="s">
        <v>9</v>
      </c>
      <c r="G42" s="33"/>
      <c r="H42" s="33"/>
      <c r="I42" s="33"/>
      <c r="J42" s="33"/>
      <c r="K42" s="33"/>
      <c r="L42" s="33"/>
      <c r="M42" s="33"/>
      <c r="N42" s="33"/>
      <c r="O42" s="33"/>
      <c r="P42" s="33"/>
      <c r="Q42" s="33"/>
      <c r="R42" s="33"/>
      <c r="S42" s="33"/>
      <c r="T42" s="33"/>
      <c r="U42" s="33"/>
      <c r="V42" s="33"/>
      <c r="W42" s="33"/>
      <c r="X42" s="33"/>
      <c r="Y42" s="33"/>
      <c r="Z42" s="33"/>
    </row>
    <row r="43" spans="1:26">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spans="1:26">
      <c r="A44" s="7" t="s">
        <v>1266</v>
      </c>
      <c r="B44" s="7"/>
      <c r="C44" s="31"/>
      <c r="D44" s="7"/>
      <c r="E44" s="7"/>
      <c r="F44" s="27"/>
      <c r="G44" s="27"/>
      <c r="H44" s="27"/>
      <c r="I44" s="27"/>
      <c r="J44" s="27"/>
      <c r="K44" s="27"/>
      <c r="L44" s="27"/>
      <c r="M44" s="27"/>
      <c r="N44" s="27"/>
      <c r="O44" s="27"/>
      <c r="P44" s="27"/>
      <c r="Q44" s="27"/>
      <c r="R44" s="27"/>
      <c r="S44" s="27"/>
      <c r="T44" s="27"/>
      <c r="U44" s="27"/>
      <c r="V44" s="27"/>
      <c r="W44" s="27"/>
      <c r="X44" s="27"/>
      <c r="Y44" s="27"/>
      <c r="Z44" s="27"/>
    </row>
    <row r="45" spans="1:26">
      <c r="A45" s="7" t="s">
        <v>1267</v>
      </c>
      <c r="B45" s="7" t="s">
        <v>1247</v>
      </c>
      <c r="C45" s="7" t="s">
        <v>1248</v>
      </c>
      <c r="D45" s="7" t="s">
        <v>1268</v>
      </c>
      <c r="E45" s="7" t="s">
        <v>1269</v>
      </c>
      <c r="F45" s="27"/>
      <c r="G45" s="27"/>
      <c r="H45" s="27"/>
      <c r="I45" s="27"/>
      <c r="J45" s="27"/>
      <c r="K45" s="27"/>
      <c r="L45" s="27"/>
      <c r="M45" s="27"/>
      <c r="N45" s="27"/>
      <c r="O45" s="27"/>
      <c r="P45" s="27"/>
      <c r="Q45" s="27"/>
      <c r="R45" s="27"/>
      <c r="S45" s="27"/>
      <c r="T45" s="27"/>
      <c r="U45" s="27"/>
      <c r="V45" s="27"/>
      <c r="W45" s="27"/>
      <c r="X45" s="27"/>
      <c r="Y45" s="27"/>
      <c r="Z45" s="27"/>
    </row>
    <row r="46" spans="1:26">
      <c r="A46" s="32" t="s">
        <v>12</v>
      </c>
      <c r="B46" s="32" t="s">
        <v>895</v>
      </c>
      <c r="C46" s="32">
        <v>2</v>
      </c>
      <c r="D46" s="32" t="s">
        <v>1336</v>
      </c>
      <c r="E46" s="32" t="s">
        <v>30</v>
      </c>
      <c r="F46" s="27"/>
      <c r="G46" s="27"/>
      <c r="H46" s="27"/>
      <c r="I46" s="27"/>
      <c r="J46" s="27"/>
      <c r="K46" s="27"/>
      <c r="L46" s="27"/>
      <c r="M46" s="27"/>
      <c r="N46" s="27"/>
      <c r="O46" s="27"/>
      <c r="P46" s="27"/>
      <c r="Q46" s="27"/>
      <c r="R46" s="27"/>
      <c r="S46" s="27"/>
      <c r="T46" s="27"/>
      <c r="U46" s="27"/>
      <c r="V46" s="27"/>
      <c r="W46" s="27"/>
      <c r="X46" s="27"/>
      <c r="Y46" s="27"/>
      <c r="Z46" s="27"/>
    </row>
    <row r="47" spans="1:26">
      <c r="A47" s="32" t="s">
        <v>12</v>
      </c>
      <c r="B47" s="32" t="s">
        <v>898</v>
      </c>
      <c r="C47" s="32">
        <v>1</v>
      </c>
      <c r="D47" s="32" t="s">
        <v>1337</v>
      </c>
      <c r="E47" s="32" t="s">
        <v>30</v>
      </c>
      <c r="F47" s="27"/>
      <c r="G47" s="27"/>
      <c r="H47" s="27"/>
      <c r="I47" s="27"/>
      <c r="J47" s="27"/>
      <c r="K47" s="27"/>
      <c r="L47" s="27"/>
      <c r="M47" s="27"/>
      <c r="N47" s="27"/>
      <c r="O47" s="27"/>
      <c r="P47" s="27"/>
      <c r="Q47" s="27"/>
      <c r="R47" s="27"/>
      <c r="S47" s="27"/>
      <c r="T47" s="27"/>
      <c r="U47" s="27"/>
      <c r="V47" s="27"/>
      <c r="W47" s="27"/>
      <c r="X47" s="27"/>
      <c r="Y47" s="27"/>
      <c r="Z47" s="27"/>
    </row>
    <row r="48" spans="1:26">
      <c r="A48" s="32" t="s">
        <v>15</v>
      </c>
      <c r="B48" s="32" t="s">
        <v>1121</v>
      </c>
      <c r="C48" s="32">
        <v>4</v>
      </c>
      <c r="D48" s="32" t="s">
        <v>1338</v>
      </c>
      <c r="E48" s="32" t="s">
        <v>30</v>
      </c>
      <c r="F48" s="27"/>
      <c r="G48" s="27"/>
      <c r="H48" s="27"/>
      <c r="I48" s="27"/>
      <c r="J48" s="27"/>
      <c r="K48" s="27"/>
      <c r="L48" s="27"/>
      <c r="M48" s="27"/>
      <c r="N48" s="27"/>
      <c r="O48" s="27"/>
      <c r="P48" s="27"/>
      <c r="Q48" s="27"/>
      <c r="R48" s="27"/>
      <c r="S48" s="27"/>
      <c r="T48" s="27"/>
      <c r="U48" s="27"/>
      <c r="V48" s="27"/>
      <c r="W48" s="27"/>
      <c r="X48" s="27"/>
      <c r="Y48" s="27"/>
      <c r="Z48" s="27"/>
    </row>
    <row r="49" spans="1:26">
      <c r="A49" s="32" t="s">
        <v>15</v>
      </c>
      <c r="B49" s="32" t="s">
        <v>1128</v>
      </c>
      <c r="C49" s="32">
        <v>3</v>
      </c>
      <c r="D49" s="32" t="s">
        <v>1339</v>
      </c>
      <c r="E49" s="32" t="s">
        <v>30</v>
      </c>
      <c r="F49" s="27"/>
      <c r="G49" s="27"/>
      <c r="H49" s="27"/>
      <c r="I49" s="27"/>
      <c r="J49" s="27"/>
      <c r="K49" s="27"/>
      <c r="L49" s="27"/>
      <c r="M49" s="27"/>
      <c r="N49" s="27"/>
      <c r="O49" s="27"/>
      <c r="P49" s="27"/>
      <c r="Q49" s="27"/>
      <c r="R49" s="27"/>
      <c r="S49" s="27"/>
      <c r="T49" s="27"/>
      <c r="U49" s="27"/>
      <c r="V49" s="27"/>
      <c r="W49" s="27"/>
      <c r="X49" s="27"/>
      <c r="Y49" s="27"/>
      <c r="Z49" s="27"/>
    </row>
    <row r="50" spans="1:26">
      <c r="A50" s="32" t="s">
        <v>15</v>
      </c>
      <c r="B50" s="32" t="s">
        <v>1183</v>
      </c>
      <c r="C50" s="32">
        <v>2</v>
      </c>
      <c r="D50" s="32" t="s">
        <v>1340</v>
      </c>
      <c r="E50" s="32" t="s">
        <v>30</v>
      </c>
      <c r="F50" s="27"/>
      <c r="G50" s="27"/>
      <c r="H50" s="27"/>
      <c r="I50" s="27"/>
      <c r="J50" s="27"/>
      <c r="K50" s="27"/>
      <c r="L50" s="27"/>
      <c r="M50" s="27"/>
      <c r="N50" s="27"/>
      <c r="O50" s="27"/>
      <c r="P50" s="27"/>
      <c r="Q50" s="27"/>
      <c r="R50" s="27"/>
      <c r="S50" s="27"/>
      <c r="T50" s="27"/>
      <c r="U50" s="27"/>
      <c r="V50" s="27"/>
      <c r="W50" s="27"/>
      <c r="X50" s="27"/>
      <c r="Y50" s="27"/>
      <c r="Z50" s="27"/>
    </row>
    <row r="51" spans="1:26">
      <c r="A51" s="32" t="s">
        <v>9</v>
      </c>
      <c r="B51" s="32" t="s">
        <v>1141</v>
      </c>
      <c r="C51" s="32">
        <v>1</v>
      </c>
      <c r="D51" s="32" t="s">
        <v>1341</v>
      </c>
      <c r="E51" s="32" t="s">
        <v>30</v>
      </c>
      <c r="F51" s="27"/>
      <c r="G51" s="27"/>
      <c r="H51" s="27"/>
      <c r="I51" s="27"/>
      <c r="J51" s="27"/>
      <c r="K51" s="27"/>
      <c r="L51" s="27"/>
      <c r="M51" s="27"/>
      <c r="N51" s="27"/>
      <c r="O51" s="27"/>
      <c r="P51" s="27"/>
      <c r="Q51" s="27"/>
      <c r="R51" s="27"/>
      <c r="S51" s="27"/>
      <c r="T51" s="27"/>
      <c r="U51" s="27"/>
      <c r="V51" s="27"/>
      <c r="W51" s="27"/>
      <c r="X51" s="27"/>
      <c r="Y51" s="27"/>
      <c r="Z51" s="27"/>
    </row>
    <row r="52" spans="1:26">
      <c r="A52" s="32" t="s">
        <v>9</v>
      </c>
      <c r="B52" s="32" t="s">
        <v>1180</v>
      </c>
      <c r="C52" s="32">
        <v>1</v>
      </c>
      <c r="D52" s="32" t="s">
        <v>1342</v>
      </c>
      <c r="E52" s="32" t="s">
        <v>30</v>
      </c>
      <c r="F52" s="27"/>
      <c r="G52" s="27"/>
      <c r="H52" s="27"/>
      <c r="I52" s="27"/>
      <c r="J52" s="27"/>
      <c r="K52" s="27"/>
      <c r="L52" s="27"/>
      <c r="M52" s="27"/>
      <c r="N52" s="27"/>
      <c r="O52" s="27"/>
      <c r="P52" s="27"/>
      <c r="Q52" s="27"/>
      <c r="R52" s="27"/>
      <c r="S52" s="27"/>
      <c r="T52" s="27"/>
      <c r="U52" s="27"/>
      <c r="V52" s="27"/>
      <c r="W52" s="27"/>
      <c r="X52" s="27"/>
      <c r="Y52" s="27"/>
      <c r="Z52" s="27"/>
    </row>
    <row r="53" spans="1:26">
      <c r="A53" s="32" t="s">
        <v>9</v>
      </c>
      <c r="B53" s="32" t="s">
        <v>1159</v>
      </c>
      <c r="C53" s="32">
        <v>1</v>
      </c>
      <c r="D53" s="32" t="s">
        <v>1343</v>
      </c>
      <c r="E53" s="32" t="s">
        <v>30</v>
      </c>
      <c r="F53" s="33"/>
      <c r="G53" s="33"/>
      <c r="H53" s="33"/>
      <c r="I53" s="33"/>
      <c r="J53" s="33"/>
      <c r="K53" s="33"/>
      <c r="L53" s="33"/>
      <c r="M53" s="33"/>
      <c r="N53" s="33"/>
      <c r="O53" s="33"/>
      <c r="P53" s="33"/>
      <c r="Q53" s="33"/>
      <c r="R53" s="33"/>
      <c r="S53" s="33"/>
      <c r="T53" s="33"/>
      <c r="U53" s="33"/>
      <c r="V53" s="33"/>
      <c r="W53" s="33"/>
      <c r="X53" s="33"/>
      <c r="Y53" s="33"/>
      <c r="Z53" s="33"/>
    </row>
    <row r="54" spans="1:26">
      <c r="A54" s="32" t="s">
        <v>9</v>
      </c>
      <c r="B54" s="32" t="s">
        <v>1193</v>
      </c>
      <c r="C54" s="32">
        <v>1</v>
      </c>
      <c r="D54" s="32" t="s">
        <v>1344</v>
      </c>
      <c r="E54" s="32" t="s">
        <v>1263</v>
      </c>
      <c r="F54" s="33"/>
      <c r="G54" s="33"/>
      <c r="H54" s="33"/>
      <c r="I54" s="33"/>
      <c r="J54" s="33"/>
      <c r="K54" s="33"/>
      <c r="L54" s="33"/>
      <c r="M54" s="33"/>
      <c r="N54" s="33"/>
      <c r="O54" s="33"/>
      <c r="P54" s="33"/>
      <c r="Q54" s="33"/>
      <c r="R54" s="33"/>
      <c r="S54" s="33"/>
      <c r="T54" s="33"/>
      <c r="U54" s="33"/>
      <c r="V54" s="33"/>
      <c r="W54" s="33"/>
      <c r="X54" s="33"/>
      <c r="Y54" s="33"/>
      <c r="Z54" s="33"/>
    </row>
    <row r="55" spans="1:26">
      <c r="A55" s="32" t="s">
        <v>9</v>
      </c>
      <c r="B55" s="32" t="s">
        <v>1174</v>
      </c>
      <c r="C55" s="32">
        <v>1</v>
      </c>
      <c r="D55" s="32" t="s">
        <v>1345</v>
      </c>
      <c r="E55" s="32" t="s">
        <v>1263</v>
      </c>
      <c r="F55" s="33"/>
      <c r="G55" s="33"/>
      <c r="H55" s="33"/>
      <c r="I55" s="33"/>
      <c r="J55" s="33"/>
      <c r="K55" s="33"/>
      <c r="L55" s="33"/>
      <c r="M55" s="33"/>
      <c r="N55" s="33"/>
      <c r="O55" s="33"/>
      <c r="P55" s="33"/>
      <c r="Q55" s="33"/>
      <c r="R55" s="33"/>
      <c r="S55" s="33"/>
      <c r="T55" s="33"/>
      <c r="U55" s="33"/>
      <c r="V55" s="33"/>
      <c r="W55" s="33"/>
      <c r="X55" s="33"/>
      <c r="Y55" s="33"/>
      <c r="Z55" s="33"/>
    </row>
    <row r="56" spans="1:2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spans="1:26">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spans="1:26">
      <c r="A58" s="7" t="s">
        <v>1276</v>
      </c>
      <c r="B58" s="7"/>
      <c r="C58" s="34"/>
      <c r="D58" s="33"/>
      <c r="E58" s="27"/>
      <c r="F58" s="27"/>
      <c r="G58" s="27"/>
      <c r="H58" s="27"/>
      <c r="I58" s="27"/>
      <c r="J58" s="27"/>
      <c r="K58" s="27"/>
      <c r="L58" s="27"/>
      <c r="M58" s="27"/>
      <c r="N58" s="27"/>
      <c r="O58" s="27"/>
      <c r="P58" s="27"/>
      <c r="Q58" s="27"/>
      <c r="R58" s="27"/>
      <c r="S58" s="27"/>
      <c r="T58" s="27"/>
      <c r="U58" s="27"/>
      <c r="V58" s="27"/>
      <c r="W58" s="27"/>
      <c r="X58" s="27"/>
      <c r="Y58" s="27"/>
      <c r="Z58" s="27"/>
    </row>
    <row r="59" spans="1:26">
      <c r="A59" s="7" t="s">
        <v>98</v>
      </c>
      <c r="B59" s="7" t="s">
        <v>99</v>
      </c>
      <c r="C59" s="33"/>
      <c r="D59" s="33"/>
      <c r="E59" s="27"/>
      <c r="F59" s="27"/>
      <c r="G59" s="27"/>
      <c r="H59" s="27"/>
      <c r="I59" s="27"/>
      <c r="J59" s="27"/>
      <c r="K59" s="27"/>
      <c r="L59" s="27"/>
      <c r="M59" s="27"/>
      <c r="N59" s="27"/>
      <c r="O59" s="27"/>
      <c r="P59" s="27"/>
      <c r="Q59" s="27"/>
      <c r="R59" s="27"/>
      <c r="S59" s="27"/>
      <c r="T59" s="27"/>
      <c r="U59" s="27"/>
      <c r="V59" s="27"/>
      <c r="W59" s="27"/>
      <c r="X59" s="27"/>
      <c r="Y59" s="27"/>
      <c r="Z59" s="27"/>
    </row>
    <row r="60" spans="1:26">
      <c r="A60" s="32" t="s">
        <v>100</v>
      </c>
      <c r="B60" s="32">
        <v>0.15379999999999999</v>
      </c>
      <c r="C60" s="34"/>
      <c r="D60" s="33"/>
      <c r="E60" s="27"/>
      <c r="F60" s="27"/>
      <c r="G60" s="27"/>
      <c r="H60" s="27"/>
      <c r="I60" s="27"/>
      <c r="J60" s="27"/>
      <c r="K60" s="27"/>
      <c r="L60" s="27"/>
      <c r="M60" s="27"/>
      <c r="N60" s="27"/>
      <c r="O60" s="27"/>
      <c r="P60" s="27"/>
      <c r="Q60" s="27"/>
      <c r="R60" s="27"/>
      <c r="S60" s="27"/>
      <c r="T60" s="27"/>
      <c r="U60" s="27"/>
      <c r="V60" s="27"/>
      <c r="W60" s="27"/>
      <c r="X60" s="27"/>
      <c r="Y60" s="27"/>
      <c r="Z60" s="27"/>
    </row>
    <row r="61" spans="1:26">
      <c r="A61" s="32" t="s">
        <v>1277</v>
      </c>
      <c r="B61" s="32">
        <v>0.1923</v>
      </c>
      <c r="C61" s="34"/>
      <c r="D61" s="33"/>
      <c r="E61" s="27"/>
      <c r="F61" s="27"/>
      <c r="G61" s="27"/>
      <c r="H61" s="27"/>
      <c r="I61" s="27"/>
      <c r="J61" s="27"/>
      <c r="K61" s="27"/>
      <c r="L61" s="27"/>
      <c r="M61" s="27"/>
      <c r="N61" s="27"/>
      <c r="O61" s="27"/>
      <c r="P61" s="27"/>
      <c r="Q61" s="27"/>
      <c r="R61" s="27"/>
      <c r="S61" s="27"/>
      <c r="T61" s="27"/>
      <c r="U61" s="27"/>
      <c r="V61" s="27"/>
      <c r="W61" s="27"/>
      <c r="X61" s="27"/>
      <c r="Y61" s="27"/>
      <c r="Z61" s="27"/>
    </row>
    <row r="62" spans="1:26">
      <c r="A62" s="32" t="s">
        <v>1278</v>
      </c>
      <c r="B62" s="32">
        <v>0.65380000000000005</v>
      </c>
      <c r="C62" s="34"/>
      <c r="D62" s="33"/>
      <c r="E62" s="27"/>
      <c r="F62" s="27"/>
      <c r="G62" s="27"/>
      <c r="H62" s="27"/>
      <c r="I62" s="27"/>
      <c r="J62" s="27"/>
      <c r="K62" s="27"/>
      <c r="L62" s="27"/>
      <c r="M62" s="27"/>
      <c r="N62" s="27"/>
      <c r="O62" s="27"/>
      <c r="P62" s="27"/>
      <c r="Q62" s="27"/>
      <c r="R62" s="27"/>
      <c r="S62" s="27"/>
      <c r="T62" s="27"/>
      <c r="U62" s="27"/>
      <c r="V62" s="27"/>
      <c r="W62" s="27"/>
      <c r="X62" s="27"/>
      <c r="Y62" s="27"/>
      <c r="Z62" s="27"/>
    </row>
    <row r="63" spans="1:26">
      <c r="A63" s="32" t="s">
        <v>1346</v>
      </c>
      <c r="B63" s="32">
        <v>0.1154</v>
      </c>
      <c r="C63" s="34"/>
      <c r="D63" s="33"/>
      <c r="E63" s="27"/>
      <c r="F63" s="27"/>
      <c r="G63" s="27"/>
      <c r="H63" s="27"/>
      <c r="I63" s="27"/>
      <c r="J63" s="27"/>
      <c r="K63" s="27"/>
      <c r="L63" s="27"/>
      <c r="M63" s="27"/>
      <c r="N63" s="27"/>
      <c r="O63" s="27"/>
      <c r="P63" s="27"/>
      <c r="Q63" s="27"/>
      <c r="R63" s="27"/>
      <c r="S63" s="27"/>
      <c r="T63" s="27"/>
      <c r="U63" s="27"/>
      <c r="V63" s="27"/>
      <c r="W63" s="27"/>
      <c r="X63" s="27"/>
      <c r="Y63" s="27"/>
      <c r="Z63" s="27"/>
    </row>
    <row r="64" spans="1:26">
      <c r="A64" s="32" t="s">
        <v>1347</v>
      </c>
      <c r="B64" s="32">
        <v>0.3846</v>
      </c>
      <c r="C64" s="34"/>
      <c r="D64" s="33"/>
      <c r="E64" s="33"/>
      <c r="F64" s="33"/>
      <c r="G64" s="33"/>
      <c r="H64" s="33"/>
      <c r="I64" s="33"/>
      <c r="J64" s="33"/>
      <c r="K64" s="33"/>
      <c r="L64" s="33"/>
      <c r="M64" s="33"/>
      <c r="N64" s="33"/>
      <c r="O64" s="33"/>
      <c r="P64" s="33"/>
      <c r="Q64" s="33"/>
      <c r="R64" s="33"/>
      <c r="S64" s="33"/>
      <c r="T64" s="33"/>
      <c r="U64" s="33"/>
      <c r="V64" s="33"/>
      <c r="W64" s="33"/>
      <c r="X64" s="33"/>
      <c r="Y64" s="33"/>
      <c r="Z64" s="33"/>
    </row>
    <row r="65" spans="1:26">
      <c r="A65" s="32" t="s">
        <v>1348</v>
      </c>
      <c r="B65" s="32">
        <v>0.23080000000000001</v>
      </c>
      <c r="C65" s="34"/>
      <c r="D65" s="33"/>
      <c r="E65" s="33"/>
      <c r="F65" s="33"/>
      <c r="G65" s="33"/>
      <c r="H65" s="33"/>
      <c r="I65" s="33"/>
      <c r="J65" s="33"/>
      <c r="K65" s="33"/>
      <c r="L65" s="33"/>
      <c r="M65" s="33"/>
      <c r="N65" s="33"/>
      <c r="O65" s="33"/>
      <c r="P65" s="33"/>
      <c r="Q65" s="33"/>
      <c r="R65" s="33"/>
      <c r="S65" s="33"/>
      <c r="T65" s="33"/>
      <c r="U65" s="33"/>
      <c r="V65" s="33"/>
      <c r="W65" s="33"/>
      <c r="X65" s="33"/>
      <c r="Y65" s="33"/>
      <c r="Z65" s="33"/>
    </row>
    <row r="66" spans="1:26">
      <c r="A66" s="33"/>
      <c r="B66" s="33"/>
      <c r="C66" s="34"/>
      <c r="D66" s="33"/>
      <c r="E66" s="33"/>
      <c r="F66" s="33"/>
      <c r="G66" s="33"/>
      <c r="H66" s="33"/>
      <c r="I66" s="33"/>
      <c r="J66" s="33"/>
      <c r="K66" s="33"/>
      <c r="L66" s="33"/>
      <c r="M66" s="33"/>
      <c r="N66" s="33"/>
      <c r="O66" s="33"/>
      <c r="P66" s="33"/>
      <c r="Q66" s="33"/>
      <c r="R66" s="33"/>
      <c r="S66" s="33"/>
      <c r="T66" s="33"/>
      <c r="U66" s="33"/>
      <c r="V66" s="33"/>
      <c r="W66" s="33"/>
      <c r="X66" s="33"/>
      <c r="Y66" s="33"/>
      <c r="Z66" s="33"/>
    </row>
    <row r="67" spans="1:26">
      <c r="A67" s="7" t="s">
        <v>1280</v>
      </c>
      <c r="B67" s="7"/>
      <c r="C67" s="31"/>
      <c r="D67" s="33"/>
      <c r="E67" s="27"/>
      <c r="F67" s="27"/>
      <c r="G67" s="27"/>
      <c r="H67" s="27"/>
      <c r="I67" s="27"/>
      <c r="J67" s="27"/>
      <c r="K67" s="27"/>
      <c r="L67" s="27"/>
      <c r="M67" s="27"/>
      <c r="N67" s="27"/>
      <c r="O67" s="27"/>
      <c r="P67" s="27"/>
      <c r="Q67" s="27"/>
      <c r="R67" s="27"/>
      <c r="S67" s="27"/>
      <c r="T67" s="27"/>
      <c r="U67" s="27"/>
      <c r="V67" s="27"/>
      <c r="W67" s="27"/>
      <c r="X67" s="27"/>
      <c r="Y67" s="27"/>
      <c r="Z67" s="27"/>
    </row>
    <row r="68" spans="1:26">
      <c r="A68" s="7" t="s">
        <v>1281</v>
      </c>
      <c r="B68" s="7" t="s">
        <v>1349</v>
      </c>
      <c r="C68" s="7" t="s">
        <v>919</v>
      </c>
      <c r="D68" s="33"/>
      <c r="E68" s="27"/>
      <c r="F68" s="27"/>
      <c r="G68" s="27"/>
      <c r="H68" s="27"/>
      <c r="I68" s="27"/>
      <c r="J68" s="27"/>
      <c r="K68" s="27"/>
      <c r="L68" s="27"/>
      <c r="M68" s="27"/>
      <c r="N68" s="27"/>
      <c r="O68" s="27"/>
      <c r="P68" s="27"/>
      <c r="Q68" s="27"/>
      <c r="R68" s="27"/>
      <c r="S68" s="27"/>
      <c r="T68" s="27"/>
      <c r="U68" s="27"/>
      <c r="V68" s="27"/>
      <c r="W68" s="27"/>
      <c r="X68" s="27"/>
      <c r="Y68" s="27"/>
      <c r="Z68" s="27"/>
    </row>
    <row r="69" spans="1:26">
      <c r="A69" s="32" t="s">
        <v>1350</v>
      </c>
      <c r="B69" s="32" t="s">
        <v>30</v>
      </c>
      <c r="C69" s="32" t="s">
        <v>85</v>
      </c>
      <c r="D69" s="33"/>
      <c r="E69" s="27"/>
      <c r="F69" s="27"/>
      <c r="G69" s="27"/>
      <c r="H69" s="27"/>
      <c r="I69" s="27"/>
      <c r="J69" s="27"/>
      <c r="K69" s="27"/>
      <c r="L69" s="27"/>
      <c r="M69" s="27"/>
      <c r="N69" s="27"/>
      <c r="O69" s="27"/>
      <c r="P69" s="27"/>
      <c r="Q69" s="27"/>
      <c r="R69" s="27"/>
      <c r="S69" s="27"/>
      <c r="T69" s="27"/>
      <c r="U69" s="27"/>
      <c r="V69" s="27"/>
      <c r="W69" s="27"/>
      <c r="X69" s="27"/>
      <c r="Y69" s="27"/>
      <c r="Z69" s="27"/>
    </row>
    <row r="70" spans="1:26">
      <c r="A70" s="32" t="s">
        <v>1351</v>
      </c>
      <c r="B70" s="32" t="s">
        <v>30</v>
      </c>
      <c r="C70" s="32" t="s">
        <v>85</v>
      </c>
      <c r="D70" s="33"/>
      <c r="E70" s="27"/>
      <c r="F70" s="27"/>
      <c r="G70" s="27"/>
      <c r="H70" s="27"/>
      <c r="I70" s="27"/>
      <c r="J70" s="27"/>
      <c r="K70" s="27"/>
      <c r="L70" s="27"/>
      <c r="M70" s="27"/>
      <c r="N70" s="27"/>
      <c r="O70" s="27"/>
      <c r="P70" s="27"/>
      <c r="Q70" s="27"/>
      <c r="R70" s="27"/>
      <c r="S70" s="27"/>
      <c r="T70" s="27"/>
      <c r="U70" s="27"/>
      <c r="V70" s="27"/>
      <c r="W70" s="27"/>
      <c r="X70" s="27"/>
      <c r="Y70" s="27"/>
      <c r="Z70" s="27"/>
    </row>
    <row r="71" spans="1:26">
      <c r="A71" s="32" t="s">
        <v>1352</v>
      </c>
      <c r="B71" s="32" t="s">
        <v>30</v>
      </c>
      <c r="C71" s="32" t="s">
        <v>85</v>
      </c>
      <c r="D71" s="33"/>
      <c r="E71" s="27"/>
      <c r="F71" s="27"/>
      <c r="G71" s="27"/>
      <c r="H71" s="27"/>
      <c r="I71" s="27"/>
      <c r="J71" s="27"/>
      <c r="K71" s="27"/>
      <c r="L71" s="27"/>
      <c r="M71" s="27"/>
      <c r="N71" s="27"/>
      <c r="O71" s="27"/>
      <c r="P71" s="27"/>
      <c r="Q71" s="27"/>
      <c r="R71" s="27"/>
      <c r="S71" s="27"/>
      <c r="T71" s="27"/>
      <c r="U71" s="27"/>
      <c r="V71" s="27"/>
      <c r="W71" s="27"/>
      <c r="X71" s="27"/>
      <c r="Y71" s="27"/>
      <c r="Z71" s="27"/>
    </row>
    <row r="72" spans="1:26">
      <c r="A72" s="32" t="s">
        <v>1353</v>
      </c>
      <c r="B72" s="32" t="s">
        <v>30</v>
      </c>
      <c r="C72" s="32" t="s">
        <v>76</v>
      </c>
      <c r="D72" s="33"/>
      <c r="E72" s="27"/>
      <c r="F72" s="27"/>
      <c r="G72" s="27"/>
      <c r="H72" s="27"/>
      <c r="I72" s="27"/>
      <c r="J72" s="27"/>
      <c r="K72" s="27"/>
      <c r="L72" s="27"/>
      <c r="M72" s="27"/>
      <c r="N72" s="27"/>
      <c r="O72" s="27"/>
      <c r="P72" s="27"/>
      <c r="Q72" s="27"/>
      <c r="R72" s="27"/>
      <c r="S72" s="27"/>
      <c r="T72" s="27"/>
      <c r="U72" s="27"/>
      <c r="V72" s="27"/>
      <c r="W72" s="27"/>
      <c r="X72" s="27"/>
      <c r="Y72" s="27"/>
      <c r="Z72" s="27"/>
    </row>
    <row r="73" spans="1:26">
      <c r="A73" s="32" t="s">
        <v>1354</v>
      </c>
      <c r="B73" s="32" t="s">
        <v>30</v>
      </c>
      <c r="C73" s="32" t="s">
        <v>76</v>
      </c>
      <c r="D73" s="33"/>
      <c r="E73" s="27"/>
      <c r="F73" s="27"/>
      <c r="G73" s="27"/>
      <c r="H73" s="27"/>
      <c r="I73" s="27"/>
      <c r="J73" s="27"/>
      <c r="K73" s="27"/>
      <c r="L73" s="27"/>
      <c r="M73" s="27"/>
      <c r="N73" s="27"/>
      <c r="O73" s="27"/>
      <c r="P73" s="27"/>
      <c r="Q73" s="27"/>
      <c r="R73" s="27"/>
      <c r="S73" s="27"/>
      <c r="T73" s="27"/>
      <c r="U73" s="27"/>
      <c r="V73" s="27"/>
      <c r="W73" s="27"/>
      <c r="X73" s="27"/>
      <c r="Y73" s="27"/>
      <c r="Z73" s="27"/>
    </row>
    <row r="74" spans="1:26">
      <c r="A74" s="32" t="s">
        <v>1355</v>
      </c>
      <c r="B74" s="32" t="s">
        <v>30</v>
      </c>
      <c r="C74" s="32" t="s">
        <v>72</v>
      </c>
      <c r="D74" s="33"/>
      <c r="E74" s="27"/>
      <c r="F74" s="27"/>
      <c r="G74" s="27"/>
      <c r="H74" s="27"/>
      <c r="I74" s="27"/>
      <c r="J74" s="27"/>
      <c r="K74" s="27"/>
      <c r="L74" s="27"/>
      <c r="M74" s="27"/>
      <c r="N74" s="27"/>
      <c r="O74" s="27"/>
      <c r="P74" s="27"/>
      <c r="Q74" s="27"/>
      <c r="R74" s="27"/>
      <c r="S74" s="27"/>
      <c r="T74" s="27"/>
      <c r="U74" s="27"/>
      <c r="V74" s="27"/>
      <c r="W74" s="27"/>
      <c r="X74" s="27"/>
      <c r="Y74" s="27"/>
      <c r="Z74" s="27"/>
    </row>
    <row r="75" spans="1:26">
      <c r="A75" s="32" t="s">
        <v>1356</v>
      </c>
      <c r="B75" s="32" t="s">
        <v>1321</v>
      </c>
      <c r="C75" s="32" t="s">
        <v>887</v>
      </c>
      <c r="D75" s="33"/>
      <c r="E75" s="33"/>
      <c r="F75" s="33"/>
      <c r="G75" s="33"/>
      <c r="H75" s="33"/>
      <c r="I75" s="33"/>
      <c r="J75" s="33"/>
      <c r="K75" s="33"/>
      <c r="L75" s="33"/>
      <c r="M75" s="33"/>
      <c r="N75" s="33"/>
      <c r="O75" s="33"/>
      <c r="P75" s="33"/>
      <c r="Q75" s="33"/>
      <c r="R75" s="33"/>
      <c r="S75" s="33"/>
      <c r="T75" s="33"/>
      <c r="U75" s="33"/>
      <c r="V75" s="33"/>
      <c r="W75" s="33"/>
      <c r="X75" s="33"/>
      <c r="Y75" s="33"/>
      <c r="Z75" s="33"/>
    </row>
    <row r="76" spans="1:2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spans="1:26">
      <c r="A77" s="7" t="s">
        <v>1288</v>
      </c>
      <c r="B77" s="7"/>
      <c r="C77" s="31"/>
      <c r="D77" s="7"/>
      <c r="E77" s="7"/>
      <c r="F77" s="27"/>
      <c r="G77" s="27"/>
      <c r="H77" s="27"/>
      <c r="I77" s="27"/>
      <c r="J77" s="27"/>
      <c r="K77" s="27"/>
      <c r="L77" s="27"/>
      <c r="M77" s="27"/>
      <c r="N77" s="27"/>
      <c r="O77" s="27"/>
      <c r="P77" s="27"/>
      <c r="Q77" s="27"/>
      <c r="R77" s="27"/>
      <c r="S77" s="27"/>
      <c r="T77" s="27"/>
      <c r="U77" s="27"/>
      <c r="V77" s="27"/>
      <c r="W77" s="27"/>
      <c r="X77" s="27"/>
      <c r="Y77" s="27"/>
      <c r="Z77" s="27"/>
    </row>
    <row r="78" spans="1:26">
      <c r="A78" s="7" t="s">
        <v>79</v>
      </c>
      <c r="B78" s="7" t="s">
        <v>1289</v>
      </c>
      <c r="C78" s="7" t="s">
        <v>1290</v>
      </c>
      <c r="D78" s="7" t="s">
        <v>1291</v>
      </c>
      <c r="E78" s="7" t="s">
        <v>1292</v>
      </c>
      <c r="F78" s="27"/>
      <c r="G78" s="27"/>
      <c r="H78" s="27"/>
      <c r="I78" s="27"/>
      <c r="J78" s="27"/>
      <c r="K78" s="27"/>
      <c r="L78" s="27"/>
      <c r="M78" s="27"/>
      <c r="N78" s="27"/>
      <c r="O78" s="27"/>
      <c r="P78" s="27"/>
      <c r="Q78" s="27"/>
      <c r="R78" s="27"/>
      <c r="S78" s="27"/>
      <c r="T78" s="27"/>
      <c r="U78" s="27"/>
      <c r="V78" s="27"/>
      <c r="W78" s="27"/>
      <c r="X78" s="27"/>
      <c r="Y78" s="27"/>
      <c r="Z78" s="27"/>
    </row>
    <row r="79" spans="1:26">
      <c r="A79" s="32">
        <v>1</v>
      </c>
      <c r="B79" s="32" t="s">
        <v>86</v>
      </c>
      <c r="C79" s="32" t="s">
        <v>65</v>
      </c>
      <c r="D79" s="32" t="s">
        <v>72</v>
      </c>
      <c r="E79" s="32" t="s">
        <v>1294</v>
      </c>
      <c r="F79" s="27"/>
      <c r="G79" s="27"/>
      <c r="H79" s="27"/>
      <c r="I79" s="27"/>
      <c r="J79" s="27"/>
      <c r="K79" s="27"/>
      <c r="L79" s="27"/>
      <c r="M79" s="27"/>
      <c r="N79" s="27"/>
      <c r="O79" s="27"/>
      <c r="P79" s="27"/>
      <c r="Q79" s="27"/>
      <c r="R79" s="27"/>
      <c r="S79" s="27"/>
      <c r="T79" s="27"/>
      <c r="U79" s="27"/>
      <c r="V79" s="27"/>
      <c r="W79" s="27"/>
      <c r="X79" s="27"/>
      <c r="Y79" s="27"/>
      <c r="Z79" s="27"/>
    </row>
    <row r="80" spans="1:26">
      <c r="A80" s="32">
        <v>2</v>
      </c>
      <c r="B80" s="32" t="s">
        <v>1357</v>
      </c>
      <c r="C80" s="32" t="s">
        <v>65</v>
      </c>
      <c r="D80" s="32" t="s">
        <v>72</v>
      </c>
      <c r="E80" s="32" t="s">
        <v>1294</v>
      </c>
      <c r="F80" s="27"/>
      <c r="G80" s="27"/>
      <c r="H80" s="27"/>
      <c r="I80" s="27"/>
      <c r="J80" s="27"/>
      <c r="K80" s="27"/>
      <c r="L80" s="27"/>
      <c r="M80" s="27"/>
      <c r="N80" s="27"/>
      <c r="O80" s="27"/>
      <c r="P80" s="27"/>
      <c r="Q80" s="27"/>
      <c r="R80" s="27"/>
      <c r="S80" s="27"/>
      <c r="T80" s="27"/>
      <c r="U80" s="27"/>
      <c r="V80" s="27"/>
      <c r="W80" s="27"/>
      <c r="X80" s="27"/>
      <c r="Y80" s="27"/>
      <c r="Z80" s="27"/>
    </row>
    <row r="81" spans="1:26">
      <c r="A81" s="32">
        <v>3</v>
      </c>
      <c r="B81" s="32" t="s">
        <v>1358</v>
      </c>
      <c r="C81" s="32" t="s">
        <v>76</v>
      </c>
      <c r="D81" s="32" t="s">
        <v>72</v>
      </c>
      <c r="E81" s="32" t="s">
        <v>1294</v>
      </c>
      <c r="F81" s="27"/>
      <c r="G81" s="27"/>
      <c r="H81" s="27"/>
      <c r="I81" s="27"/>
      <c r="J81" s="27"/>
      <c r="K81" s="27"/>
      <c r="L81" s="27"/>
      <c r="M81" s="27"/>
      <c r="N81" s="27"/>
      <c r="O81" s="27"/>
      <c r="P81" s="27"/>
      <c r="Q81" s="27"/>
      <c r="R81" s="27"/>
      <c r="S81" s="27"/>
      <c r="T81" s="27"/>
      <c r="U81" s="27"/>
      <c r="V81" s="27"/>
      <c r="W81" s="27"/>
      <c r="X81" s="27"/>
      <c r="Y81" s="27"/>
      <c r="Z81" s="27"/>
    </row>
    <row r="82" spans="1:26">
      <c r="A82" s="32">
        <v>4</v>
      </c>
      <c r="B82" s="32" t="s">
        <v>1359</v>
      </c>
      <c r="C82" s="32" t="s">
        <v>76</v>
      </c>
      <c r="D82" s="32" t="s">
        <v>887</v>
      </c>
      <c r="E82" s="32" t="s">
        <v>1294</v>
      </c>
      <c r="F82" s="27"/>
      <c r="G82" s="27"/>
      <c r="H82" s="27"/>
      <c r="I82" s="27"/>
      <c r="J82" s="27"/>
      <c r="K82" s="27"/>
      <c r="L82" s="27"/>
      <c r="M82" s="27"/>
      <c r="N82" s="27"/>
      <c r="O82" s="27"/>
      <c r="P82" s="27"/>
      <c r="Q82" s="27"/>
      <c r="R82" s="27"/>
      <c r="S82" s="27"/>
      <c r="T82" s="27"/>
      <c r="U82" s="27"/>
      <c r="V82" s="27"/>
      <c r="W82" s="27"/>
      <c r="X82" s="27"/>
      <c r="Y82" s="27"/>
      <c r="Z82" s="27"/>
    </row>
    <row r="83" spans="1:26">
      <c r="A83" s="32">
        <v>5</v>
      </c>
      <c r="B83" s="32" t="s">
        <v>1360</v>
      </c>
      <c r="C83" s="32" t="s">
        <v>76</v>
      </c>
      <c r="D83" s="32" t="s">
        <v>887</v>
      </c>
      <c r="E83" s="32" t="s">
        <v>1294</v>
      </c>
      <c r="F83" s="27"/>
      <c r="G83" s="27"/>
      <c r="H83" s="27"/>
      <c r="I83" s="27"/>
      <c r="J83" s="27"/>
      <c r="K83" s="27"/>
      <c r="L83" s="27"/>
      <c r="M83" s="27"/>
      <c r="N83" s="27"/>
      <c r="O83" s="27"/>
      <c r="P83" s="27"/>
      <c r="Q83" s="27"/>
      <c r="R83" s="27"/>
      <c r="S83" s="27"/>
      <c r="T83" s="27"/>
      <c r="U83" s="27"/>
      <c r="V83" s="27"/>
      <c r="W83" s="27"/>
      <c r="X83" s="27"/>
      <c r="Y83" s="27"/>
      <c r="Z83" s="27"/>
    </row>
    <row r="84" spans="1:26">
      <c r="A84" s="32">
        <v>6</v>
      </c>
      <c r="B84" s="32" t="s">
        <v>1361</v>
      </c>
      <c r="C84" s="32" t="s">
        <v>72</v>
      </c>
      <c r="D84" s="32" t="s">
        <v>72</v>
      </c>
      <c r="E84" s="32" t="s">
        <v>1294</v>
      </c>
      <c r="F84" s="27"/>
      <c r="G84" s="27"/>
      <c r="H84" s="27"/>
      <c r="I84" s="27"/>
      <c r="J84" s="27"/>
      <c r="K84" s="27"/>
      <c r="L84" s="27"/>
      <c r="M84" s="27"/>
      <c r="N84" s="27"/>
      <c r="O84" s="27"/>
      <c r="P84" s="27"/>
      <c r="Q84" s="27"/>
      <c r="R84" s="27"/>
      <c r="S84" s="27"/>
      <c r="T84" s="27"/>
      <c r="U84" s="27"/>
      <c r="V84" s="27"/>
      <c r="W84" s="27"/>
      <c r="X84" s="27"/>
      <c r="Y84" s="27"/>
      <c r="Z84" s="27"/>
    </row>
    <row r="85" spans="1:26">
      <c r="A85" s="32">
        <v>7</v>
      </c>
      <c r="B85" s="32" t="s">
        <v>1362</v>
      </c>
      <c r="C85" s="32" t="s">
        <v>72</v>
      </c>
      <c r="D85" s="32" t="s">
        <v>887</v>
      </c>
      <c r="E85" s="32" t="s">
        <v>1294</v>
      </c>
      <c r="F85" s="27"/>
      <c r="G85" s="27"/>
      <c r="H85" s="27"/>
      <c r="I85" s="27"/>
      <c r="J85" s="27"/>
      <c r="K85" s="27"/>
      <c r="L85" s="27"/>
      <c r="M85" s="27"/>
      <c r="N85" s="27"/>
      <c r="O85" s="27"/>
      <c r="P85" s="27"/>
      <c r="Q85" s="27"/>
      <c r="R85" s="27"/>
      <c r="S85" s="27"/>
      <c r="T85" s="27"/>
      <c r="U85" s="27"/>
      <c r="V85" s="27"/>
      <c r="W85" s="27"/>
      <c r="X85" s="27"/>
      <c r="Y85" s="27"/>
      <c r="Z85" s="27"/>
    </row>
    <row r="86" spans="1:2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row r="1001" spans="1:26">
      <c r="A1001" s="27"/>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row>
    <row r="1002" spans="1:26">
      <c r="A1002" s="27"/>
      <c r="B1002" s="27"/>
      <c r="C1002" s="27"/>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row>
    <row r="1003" spans="1:26">
      <c r="A1003" s="27"/>
      <c r="B1003" s="27"/>
      <c r="C1003" s="27"/>
      <c r="D1003" s="27"/>
      <c r="E1003" s="27"/>
      <c r="F1003" s="27"/>
      <c r="G1003" s="27"/>
      <c r="H1003" s="27"/>
      <c r="I1003" s="27"/>
      <c r="J1003" s="27"/>
      <c r="K1003" s="27"/>
      <c r="L1003" s="27"/>
      <c r="M1003" s="27"/>
      <c r="N1003" s="27"/>
      <c r="O1003" s="27"/>
      <c r="P1003" s="27"/>
      <c r="Q1003" s="27"/>
      <c r="R1003" s="27"/>
      <c r="S1003" s="27"/>
      <c r="T1003" s="27"/>
      <c r="U1003" s="27"/>
      <c r="V1003" s="27"/>
      <c r="W1003" s="27"/>
      <c r="X1003" s="27"/>
      <c r="Y1003" s="27"/>
      <c r="Z1003" s="27"/>
    </row>
    <row r="1004" spans="1:26">
      <c r="A1004" s="27"/>
      <c r="B1004" s="27"/>
      <c r="C1004" s="27"/>
      <c r="D1004" s="27"/>
      <c r="E1004" s="27"/>
      <c r="F1004" s="27"/>
      <c r="G1004" s="27"/>
      <c r="H1004" s="27"/>
      <c r="I1004" s="27"/>
      <c r="J1004" s="27"/>
      <c r="K1004" s="27"/>
      <c r="L1004" s="27"/>
      <c r="M1004" s="27"/>
      <c r="N1004" s="27"/>
      <c r="O1004" s="27"/>
      <c r="P1004" s="27"/>
      <c r="Q1004" s="27"/>
      <c r="R1004" s="27"/>
      <c r="S1004" s="27"/>
      <c r="T1004" s="27"/>
      <c r="U1004" s="27"/>
      <c r="V1004" s="27"/>
      <c r="W1004" s="27"/>
      <c r="X1004" s="27"/>
      <c r="Y1004" s="27"/>
      <c r="Z1004" s="27"/>
    </row>
    <row r="1005" spans="1:26">
      <c r="A1005" s="27"/>
      <c r="B1005" s="27"/>
      <c r="C1005" s="27"/>
      <c r="D1005" s="27"/>
      <c r="E1005" s="27"/>
      <c r="F1005" s="27"/>
      <c r="G1005" s="27"/>
      <c r="H1005" s="27"/>
      <c r="I1005" s="27"/>
      <c r="J1005" s="27"/>
      <c r="K1005" s="27"/>
      <c r="L1005" s="27"/>
      <c r="M1005" s="27"/>
      <c r="N1005" s="27"/>
      <c r="O1005" s="27"/>
      <c r="P1005" s="27"/>
      <c r="Q1005" s="27"/>
      <c r="R1005" s="27"/>
      <c r="S1005" s="27"/>
      <c r="T1005" s="27"/>
      <c r="U1005" s="27"/>
      <c r="V1005" s="27"/>
      <c r="W1005" s="27"/>
      <c r="X1005" s="27"/>
      <c r="Y1005" s="27"/>
      <c r="Z1005" s="27"/>
    </row>
    <row r="1006" spans="1:26">
      <c r="A1006" s="27"/>
      <c r="B1006" s="27"/>
      <c r="C1006" s="27"/>
      <c r="D1006" s="27"/>
      <c r="E1006" s="27"/>
      <c r="F1006" s="27"/>
      <c r="G1006" s="27"/>
      <c r="H1006" s="27"/>
      <c r="I1006" s="27"/>
      <c r="J1006" s="27"/>
      <c r="K1006" s="27"/>
      <c r="L1006" s="27"/>
      <c r="M1006" s="27"/>
      <c r="N1006" s="27"/>
      <c r="O1006" s="27"/>
      <c r="P1006" s="27"/>
      <c r="Q1006" s="27"/>
      <c r="R1006" s="27"/>
      <c r="S1006" s="27"/>
      <c r="T1006" s="27"/>
      <c r="U1006" s="27"/>
      <c r="V1006" s="27"/>
      <c r="W1006" s="27"/>
      <c r="X1006" s="27"/>
      <c r="Y1006" s="27"/>
      <c r="Z1006" s="27"/>
    </row>
    <row r="1007" spans="1:26">
      <c r="A1007" s="27"/>
      <c r="B1007" s="27"/>
      <c r="C1007" s="27"/>
      <c r="D1007" s="27"/>
      <c r="E1007" s="27"/>
      <c r="F1007" s="27"/>
      <c r="G1007" s="27"/>
      <c r="H1007" s="27"/>
      <c r="I1007" s="27"/>
      <c r="J1007" s="27"/>
      <c r="K1007" s="27"/>
      <c r="L1007" s="27"/>
      <c r="M1007" s="27"/>
      <c r="N1007" s="27"/>
      <c r="O1007" s="27"/>
      <c r="P1007" s="27"/>
      <c r="Q1007" s="27"/>
      <c r="R1007" s="27"/>
      <c r="S1007" s="27"/>
      <c r="T1007" s="27"/>
      <c r="U1007" s="27"/>
      <c r="V1007" s="27"/>
      <c r="W1007" s="27"/>
      <c r="X1007" s="27"/>
      <c r="Y1007" s="27"/>
      <c r="Z1007" s="27"/>
    </row>
    <row r="1008" spans="1:26">
      <c r="A1008" s="27"/>
      <c r="B1008" s="27"/>
      <c r="C1008" s="27"/>
      <c r="D1008" s="27"/>
      <c r="E1008" s="27"/>
      <c r="F1008" s="27"/>
      <c r="G1008" s="27"/>
      <c r="H1008" s="27"/>
      <c r="I1008" s="27"/>
      <c r="J1008" s="27"/>
      <c r="K1008" s="27"/>
      <c r="L1008" s="27"/>
      <c r="M1008" s="27"/>
      <c r="N1008" s="27"/>
      <c r="O1008" s="27"/>
      <c r="P1008" s="27"/>
      <c r="Q1008" s="27"/>
      <c r="R1008" s="27"/>
      <c r="S1008" s="27"/>
      <c r="T1008" s="27"/>
      <c r="U1008" s="27"/>
      <c r="V1008" s="27"/>
      <c r="W1008" s="27"/>
      <c r="X1008" s="27"/>
      <c r="Y1008" s="27"/>
      <c r="Z1008" s="27"/>
    </row>
    <row r="1009" spans="1:26">
      <c r="A1009" s="27"/>
      <c r="B1009" s="27"/>
      <c r="C1009" s="27"/>
      <c r="D1009" s="27"/>
      <c r="E1009" s="27"/>
      <c r="F1009" s="27"/>
      <c r="G1009" s="27"/>
      <c r="H1009" s="27"/>
      <c r="I1009" s="27"/>
      <c r="J1009" s="27"/>
      <c r="K1009" s="27"/>
      <c r="L1009" s="27"/>
      <c r="M1009" s="27"/>
      <c r="N1009" s="27"/>
      <c r="O1009" s="27"/>
      <c r="P1009" s="27"/>
      <c r="Q1009" s="27"/>
      <c r="R1009" s="27"/>
      <c r="S1009" s="27"/>
      <c r="T1009" s="27"/>
      <c r="U1009" s="27"/>
      <c r="V1009" s="27"/>
      <c r="W1009" s="27"/>
      <c r="X1009" s="27"/>
      <c r="Y1009" s="27"/>
      <c r="Z1009" s="27"/>
    </row>
    <row r="1010" spans="1:26">
      <c r="A1010" s="27"/>
      <c r="B1010" s="27"/>
      <c r="C1010" s="27"/>
      <c r="D1010" s="27"/>
      <c r="E1010" s="27"/>
      <c r="F1010" s="27"/>
      <c r="G1010" s="27"/>
      <c r="H1010" s="27"/>
      <c r="I1010" s="27"/>
      <c r="J1010" s="27"/>
      <c r="K1010" s="27"/>
      <c r="L1010" s="27"/>
      <c r="M1010" s="27"/>
      <c r="N1010" s="27"/>
      <c r="O1010" s="27"/>
      <c r="P1010" s="27"/>
      <c r="Q1010" s="27"/>
      <c r="R1010" s="27"/>
      <c r="S1010" s="27"/>
      <c r="T1010" s="27"/>
      <c r="U1010" s="27"/>
      <c r="V1010" s="27"/>
      <c r="W1010" s="27"/>
      <c r="X1010" s="27"/>
      <c r="Y1010" s="27"/>
      <c r="Z1010" s="27"/>
    </row>
    <row r="1011" spans="1:26">
      <c r="A1011" s="27"/>
      <c r="B1011" s="27"/>
      <c r="C1011" s="27"/>
      <c r="D1011" s="27"/>
      <c r="E1011" s="27"/>
      <c r="F1011" s="27"/>
      <c r="G1011" s="27"/>
      <c r="H1011" s="27"/>
      <c r="I1011" s="27"/>
      <c r="J1011" s="27"/>
      <c r="K1011" s="27"/>
      <c r="L1011" s="27"/>
      <c r="M1011" s="27"/>
      <c r="N1011" s="27"/>
      <c r="O1011" s="27"/>
      <c r="P1011" s="27"/>
      <c r="Q1011" s="27"/>
      <c r="R1011" s="27"/>
      <c r="S1011" s="27"/>
      <c r="T1011" s="27"/>
      <c r="U1011" s="27"/>
      <c r="V1011" s="27"/>
      <c r="W1011" s="27"/>
      <c r="X1011" s="27"/>
      <c r="Y1011" s="27"/>
      <c r="Z1011" s="27"/>
    </row>
    <row r="1012" spans="1:26">
      <c r="A1012" s="27"/>
      <c r="B1012" s="27"/>
      <c r="C1012" s="27"/>
      <c r="D1012" s="27"/>
      <c r="E1012" s="27"/>
      <c r="F1012" s="27"/>
      <c r="G1012" s="27"/>
      <c r="H1012" s="27"/>
      <c r="I1012" s="27"/>
      <c r="J1012" s="27"/>
      <c r="K1012" s="27"/>
      <c r="L1012" s="27"/>
      <c r="M1012" s="27"/>
      <c r="N1012" s="27"/>
      <c r="O1012" s="27"/>
      <c r="P1012" s="27"/>
      <c r="Q1012" s="27"/>
      <c r="R1012" s="27"/>
      <c r="S1012" s="27"/>
      <c r="T1012" s="27"/>
      <c r="U1012" s="27"/>
      <c r="V1012" s="27"/>
      <c r="W1012" s="27"/>
      <c r="X1012" s="27"/>
      <c r="Y1012" s="27"/>
      <c r="Z1012" s="27"/>
    </row>
    <row r="1013" spans="1:26">
      <c r="A1013" s="27"/>
      <c r="B1013" s="27"/>
      <c r="C1013" s="27"/>
      <c r="D1013" s="27"/>
      <c r="E1013" s="27"/>
      <c r="F1013" s="27"/>
      <c r="G1013" s="27"/>
      <c r="H1013" s="27"/>
      <c r="I1013" s="27"/>
      <c r="J1013" s="27"/>
      <c r="K1013" s="27"/>
      <c r="L1013" s="27"/>
      <c r="M1013" s="27"/>
      <c r="N1013" s="27"/>
      <c r="O1013" s="27"/>
      <c r="P1013" s="27"/>
      <c r="Q1013" s="27"/>
      <c r="R1013" s="27"/>
      <c r="S1013" s="27"/>
      <c r="T1013" s="27"/>
      <c r="U1013" s="27"/>
      <c r="V1013" s="27"/>
      <c r="W1013" s="27"/>
      <c r="X1013" s="27"/>
      <c r="Y1013" s="27"/>
      <c r="Z1013" s="27"/>
    </row>
    <row r="1014" spans="1:26">
      <c r="A1014" s="27"/>
      <c r="B1014" s="27"/>
      <c r="C1014" s="27"/>
      <c r="D1014" s="27"/>
      <c r="E1014" s="27"/>
      <c r="F1014" s="27"/>
      <c r="G1014" s="27"/>
      <c r="H1014" s="27"/>
      <c r="I1014" s="27"/>
      <c r="J1014" s="27"/>
      <c r="K1014" s="27"/>
      <c r="L1014" s="27"/>
      <c r="M1014" s="27"/>
      <c r="N1014" s="27"/>
      <c r="O1014" s="27"/>
      <c r="P1014" s="27"/>
      <c r="Q1014" s="27"/>
      <c r="R1014" s="27"/>
      <c r="S1014" s="27"/>
      <c r="T1014" s="27"/>
      <c r="U1014" s="27"/>
      <c r="V1014" s="27"/>
      <c r="W1014" s="27"/>
      <c r="X1014" s="27"/>
      <c r="Y1014" s="27"/>
      <c r="Z1014" s="27"/>
    </row>
    <row r="1015" spans="1:26">
      <c r="A1015" s="27"/>
      <c r="B1015" s="27"/>
      <c r="C1015" s="27"/>
      <c r="D1015" s="27"/>
      <c r="E1015" s="27"/>
      <c r="F1015" s="27"/>
      <c r="G1015" s="27"/>
      <c r="H1015" s="27"/>
      <c r="I1015" s="27"/>
      <c r="J1015" s="27"/>
      <c r="K1015" s="27"/>
      <c r="L1015" s="27"/>
      <c r="M1015" s="27"/>
      <c r="N1015" s="27"/>
      <c r="O1015" s="27"/>
      <c r="P1015" s="27"/>
      <c r="Q1015" s="27"/>
      <c r="R1015" s="27"/>
      <c r="S1015" s="27"/>
      <c r="T1015" s="27"/>
      <c r="U1015" s="27"/>
      <c r="V1015" s="27"/>
      <c r="W1015" s="27"/>
      <c r="X1015" s="27"/>
      <c r="Y1015" s="27"/>
      <c r="Z1015" s="27"/>
    </row>
    <row r="1016" spans="1:26">
      <c r="A1016" s="27"/>
      <c r="B1016" s="27"/>
      <c r="C1016" s="27"/>
      <c r="D1016" s="27"/>
      <c r="E1016" s="27"/>
      <c r="F1016" s="27"/>
      <c r="G1016" s="27"/>
      <c r="H1016" s="27"/>
      <c r="I1016" s="27"/>
      <c r="J1016" s="27"/>
      <c r="K1016" s="27"/>
      <c r="L1016" s="27"/>
      <c r="M1016" s="27"/>
      <c r="N1016" s="27"/>
      <c r="O1016" s="27"/>
      <c r="P1016" s="27"/>
      <c r="Q1016" s="27"/>
      <c r="R1016" s="27"/>
      <c r="S1016" s="27"/>
      <c r="T1016" s="27"/>
      <c r="U1016" s="27"/>
      <c r="V1016" s="27"/>
      <c r="W1016" s="27"/>
      <c r="X1016" s="27"/>
      <c r="Y1016" s="27"/>
      <c r="Z1016" s="27"/>
    </row>
    <row r="1017" spans="1:26">
      <c r="A1017" s="27"/>
      <c r="B1017" s="27"/>
      <c r="C1017" s="27"/>
      <c r="D1017" s="27"/>
      <c r="E1017" s="27"/>
      <c r="F1017" s="27"/>
      <c r="G1017" s="27"/>
      <c r="H1017" s="27"/>
      <c r="I1017" s="27"/>
      <c r="J1017" s="27"/>
      <c r="K1017" s="27"/>
      <c r="L1017" s="27"/>
      <c r="M1017" s="27"/>
      <c r="N1017" s="27"/>
      <c r="O1017" s="27"/>
      <c r="P1017" s="27"/>
      <c r="Q1017" s="27"/>
      <c r="R1017" s="27"/>
      <c r="S1017" s="27"/>
      <c r="T1017" s="27"/>
      <c r="U1017" s="27"/>
      <c r="V1017" s="27"/>
      <c r="W1017" s="27"/>
      <c r="X1017" s="27"/>
      <c r="Y1017" s="27"/>
      <c r="Z1017" s="27"/>
    </row>
    <row r="1018" spans="1:26">
      <c r="A1018" s="27"/>
      <c r="B1018" s="27"/>
      <c r="C1018" s="27"/>
      <c r="D1018" s="27"/>
      <c r="E1018" s="27"/>
      <c r="F1018" s="27"/>
      <c r="G1018" s="27"/>
      <c r="H1018" s="27"/>
      <c r="I1018" s="27"/>
      <c r="J1018" s="27"/>
      <c r="K1018" s="27"/>
      <c r="L1018" s="27"/>
      <c r="M1018" s="27"/>
      <c r="N1018" s="27"/>
      <c r="O1018" s="27"/>
      <c r="P1018" s="27"/>
      <c r="Q1018" s="27"/>
      <c r="R1018" s="27"/>
      <c r="S1018" s="27"/>
      <c r="T1018" s="27"/>
      <c r="U1018" s="27"/>
      <c r="V1018" s="27"/>
      <c r="W1018" s="27"/>
      <c r="X1018" s="27"/>
      <c r="Y1018" s="27"/>
      <c r="Z1018" s="27"/>
    </row>
    <row r="1019" spans="1:26">
      <c r="A1019" s="27"/>
      <c r="B1019" s="27"/>
      <c r="C1019" s="27"/>
      <c r="D1019" s="27"/>
      <c r="E1019" s="27"/>
      <c r="F1019" s="27"/>
      <c r="G1019" s="27"/>
      <c r="H1019" s="27"/>
      <c r="I1019" s="27"/>
      <c r="J1019" s="27"/>
      <c r="K1019" s="27"/>
      <c r="L1019" s="27"/>
      <c r="M1019" s="27"/>
      <c r="N1019" s="27"/>
      <c r="O1019" s="27"/>
      <c r="P1019" s="27"/>
      <c r="Q1019" s="27"/>
      <c r="R1019" s="27"/>
      <c r="S1019" s="27"/>
      <c r="T1019" s="27"/>
      <c r="U1019" s="27"/>
      <c r="V1019" s="27"/>
      <c r="W1019" s="27"/>
      <c r="X1019" s="27"/>
      <c r="Y1019" s="27"/>
      <c r="Z1019" s="27"/>
    </row>
    <row r="1020" spans="1:26">
      <c r="A1020" s="27"/>
      <c r="B1020" s="27"/>
      <c r="C1020" s="27"/>
      <c r="D1020" s="27"/>
      <c r="E1020" s="27"/>
      <c r="F1020" s="27"/>
      <c r="G1020" s="27"/>
      <c r="H1020" s="27"/>
      <c r="I1020" s="27"/>
      <c r="J1020" s="27"/>
      <c r="K1020" s="27"/>
      <c r="L1020" s="27"/>
      <c r="M1020" s="27"/>
      <c r="N1020" s="27"/>
      <c r="O1020" s="27"/>
      <c r="P1020" s="27"/>
      <c r="Q1020" s="27"/>
      <c r="R1020" s="27"/>
      <c r="S1020" s="27"/>
      <c r="T1020" s="27"/>
      <c r="U1020" s="27"/>
      <c r="V1020" s="27"/>
      <c r="W1020" s="27"/>
      <c r="X1020" s="27"/>
      <c r="Y1020" s="27"/>
      <c r="Z1020" s="27"/>
    </row>
    <row r="1021" spans="1:26">
      <c r="A1021" s="27"/>
      <c r="B1021" s="27"/>
      <c r="C1021" s="27"/>
      <c r="D1021" s="27"/>
      <c r="E1021" s="27"/>
      <c r="F1021" s="27"/>
      <c r="G1021" s="27"/>
      <c r="H1021" s="27"/>
      <c r="I1021" s="27"/>
      <c r="J1021" s="27"/>
      <c r="K1021" s="27"/>
      <c r="L1021" s="27"/>
      <c r="M1021" s="27"/>
      <c r="N1021" s="27"/>
      <c r="O1021" s="27"/>
      <c r="P1021" s="27"/>
      <c r="Q1021" s="27"/>
      <c r="R1021" s="27"/>
      <c r="S1021" s="27"/>
      <c r="T1021" s="27"/>
      <c r="U1021" s="27"/>
      <c r="V1021" s="27"/>
      <c r="W1021" s="27"/>
      <c r="X1021" s="27"/>
      <c r="Y1021" s="27"/>
      <c r="Z1021" s="27"/>
    </row>
  </sheetData>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6"/>
  <sheetViews>
    <sheetView workbookViewId="0"/>
  </sheetViews>
  <sheetFormatPr defaultColWidth="12.5703125" defaultRowHeight="15.75" customHeight="1"/>
  <cols>
    <col min="1" max="1" width="35.42578125" customWidth="1"/>
    <col min="2" max="2" width="29.140625" customWidth="1"/>
    <col min="3" max="3" width="32.28515625" customWidth="1"/>
    <col min="4" max="4" width="24.42578125" customWidth="1"/>
    <col min="5" max="5" width="18.42578125" customWidth="1"/>
    <col min="6" max="6" width="35.42578125" customWidth="1"/>
  </cols>
  <sheetData>
    <row r="1" spans="1:26">
      <c r="A1" s="7" t="s">
        <v>1239</v>
      </c>
      <c r="B1" s="7" t="s">
        <v>99</v>
      </c>
      <c r="C1" s="27"/>
      <c r="D1" s="27"/>
      <c r="E1" s="27"/>
      <c r="F1" s="27"/>
      <c r="G1" s="27"/>
      <c r="H1" s="27"/>
      <c r="I1" s="27"/>
      <c r="J1" s="27"/>
      <c r="K1" s="27"/>
      <c r="L1" s="27"/>
      <c r="M1" s="27"/>
      <c r="N1" s="27"/>
      <c r="O1" s="27"/>
      <c r="P1" s="27"/>
      <c r="Q1" s="27"/>
      <c r="R1" s="27"/>
      <c r="S1" s="27"/>
      <c r="T1" s="27"/>
      <c r="U1" s="27"/>
      <c r="V1" s="27"/>
      <c r="W1" s="27"/>
      <c r="X1" s="27"/>
      <c r="Y1" s="27"/>
      <c r="Z1" s="27"/>
    </row>
    <row r="2" spans="1:26">
      <c r="A2" s="7" t="s">
        <v>1240</v>
      </c>
      <c r="B2" s="7" t="s">
        <v>16</v>
      </c>
      <c r="C2" s="27"/>
      <c r="D2" s="27"/>
      <c r="E2" s="27"/>
      <c r="F2" s="27"/>
      <c r="G2" s="27"/>
      <c r="H2" s="27"/>
      <c r="I2" s="27"/>
      <c r="J2" s="27"/>
      <c r="K2" s="27"/>
      <c r="L2" s="27"/>
      <c r="M2" s="27"/>
      <c r="N2" s="27"/>
      <c r="O2" s="27"/>
      <c r="P2" s="27"/>
      <c r="Q2" s="27"/>
      <c r="R2" s="27"/>
      <c r="S2" s="27"/>
      <c r="T2" s="27"/>
      <c r="U2" s="27"/>
      <c r="V2" s="27"/>
      <c r="W2" s="27"/>
      <c r="X2" s="27"/>
      <c r="Y2" s="27"/>
      <c r="Z2" s="27"/>
    </row>
    <row r="3" spans="1:26">
      <c r="A3" s="29" t="s">
        <v>1241</v>
      </c>
      <c r="B3" s="29">
        <v>14</v>
      </c>
      <c r="C3" s="30"/>
      <c r="D3" s="27"/>
      <c r="E3" s="27"/>
      <c r="F3" s="27"/>
      <c r="G3" s="27"/>
      <c r="H3" s="27"/>
      <c r="I3" s="27"/>
      <c r="J3" s="27"/>
      <c r="K3" s="27"/>
      <c r="L3" s="27"/>
      <c r="M3" s="27"/>
      <c r="N3" s="27"/>
      <c r="O3" s="27"/>
      <c r="P3" s="27"/>
      <c r="Q3" s="27"/>
      <c r="R3" s="27"/>
      <c r="S3" s="27"/>
      <c r="T3" s="27"/>
      <c r="U3" s="27"/>
      <c r="V3" s="27"/>
      <c r="W3" s="27"/>
      <c r="X3" s="27"/>
      <c r="Y3" s="27"/>
      <c r="Z3" s="27"/>
    </row>
    <row r="4" spans="1:26">
      <c r="A4" s="29" t="s">
        <v>1242</v>
      </c>
      <c r="B4" s="29"/>
      <c r="C4" s="30"/>
      <c r="D4" s="27"/>
      <c r="E4" s="27"/>
      <c r="F4" s="27"/>
      <c r="G4" s="27"/>
      <c r="H4" s="27"/>
      <c r="I4" s="27"/>
      <c r="J4" s="27"/>
      <c r="K4" s="27"/>
      <c r="L4" s="27"/>
      <c r="M4" s="27"/>
      <c r="N4" s="27"/>
      <c r="O4" s="27"/>
      <c r="P4" s="27"/>
      <c r="Q4" s="27"/>
      <c r="R4" s="27"/>
      <c r="S4" s="27"/>
      <c r="T4" s="27"/>
      <c r="U4" s="27"/>
      <c r="V4" s="27"/>
      <c r="W4" s="27"/>
      <c r="X4" s="27"/>
      <c r="Y4" s="27"/>
      <c r="Z4" s="27"/>
    </row>
    <row r="5" spans="1:26">
      <c r="A5" s="29" t="s">
        <v>1243</v>
      </c>
      <c r="B5" s="29"/>
      <c r="C5" s="30"/>
      <c r="D5" s="27"/>
      <c r="E5" s="27"/>
      <c r="F5" s="27"/>
      <c r="G5" s="27"/>
      <c r="H5" s="27"/>
      <c r="I5" s="27"/>
      <c r="J5" s="27"/>
      <c r="K5" s="27"/>
      <c r="L5" s="27"/>
      <c r="M5" s="27"/>
      <c r="N5" s="27"/>
      <c r="O5" s="27"/>
      <c r="P5" s="27"/>
      <c r="Q5" s="27"/>
      <c r="R5" s="27"/>
      <c r="S5" s="27"/>
      <c r="T5" s="27"/>
      <c r="U5" s="27"/>
      <c r="V5" s="27"/>
      <c r="W5" s="27"/>
      <c r="X5" s="27"/>
      <c r="Y5" s="27"/>
      <c r="Z5" s="27"/>
    </row>
    <row r="6" spans="1:26">
      <c r="A6" s="29" t="s">
        <v>1244</v>
      </c>
      <c r="B6" s="29"/>
      <c r="C6" s="30"/>
      <c r="D6" s="27"/>
      <c r="E6" s="27"/>
      <c r="F6" s="27"/>
      <c r="G6" s="27"/>
      <c r="H6" s="27"/>
      <c r="I6" s="27"/>
      <c r="J6" s="27"/>
      <c r="K6" s="27"/>
      <c r="L6" s="27"/>
      <c r="M6" s="27"/>
      <c r="N6" s="27"/>
      <c r="O6" s="27"/>
      <c r="P6" s="27"/>
      <c r="Q6" s="27"/>
      <c r="R6" s="27"/>
      <c r="S6" s="27"/>
      <c r="T6" s="27"/>
      <c r="U6" s="27"/>
      <c r="V6" s="27"/>
      <c r="W6" s="27"/>
      <c r="X6" s="27"/>
      <c r="Y6" s="27"/>
      <c r="Z6" s="27"/>
    </row>
    <row r="7" spans="1:26">
      <c r="A7" s="29" t="s">
        <v>1245</v>
      </c>
      <c r="B7" s="29"/>
      <c r="C7" s="30"/>
      <c r="D7" s="27"/>
      <c r="E7" s="27"/>
      <c r="F7" s="27"/>
      <c r="G7" s="27"/>
      <c r="H7" s="27"/>
      <c r="I7" s="27"/>
      <c r="J7" s="27"/>
      <c r="K7" s="27"/>
      <c r="L7" s="27"/>
      <c r="M7" s="27"/>
      <c r="N7" s="27"/>
      <c r="O7" s="27"/>
      <c r="P7" s="27"/>
      <c r="Q7" s="27"/>
      <c r="R7" s="27"/>
      <c r="S7" s="27"/>
      <c r="T7" s="27"/>
      <c r="U7" s="27"/>
      <c r="V7" s="27"/>
      <c r="W7" s="27"/>
      <c r="X7" s="27"/>
      <c r="Y7" s="27"/>
      <c r="Z7" s="27"/>
    </row>
    <row r="8" spans="1:26">
      <c r="A8" s="27"/>
      <c r="B8" s="27"/>
      <c r="C8" s="30"/>
      <c r="D8" s="27"/>
      <c r="E8" s="27"/>
      <c r="F8" s="27"/>
      <c r="G8" s="27"/>
      <c r="H8" s="27"/>
      <c r="I8" s="27"/>
      <c r="J8" s="27"/>
      <c r="K8" s="27"/>
      <c r="L8" s="27"/>
      <c r="M8" s="27"/>
      <c r="N8" s="27"/>
      <c r="O8" s="27"/>
      <c r="P8" s="27"/>
      <c r="Q8" s="27"/>
      <c r="R8" s="27"/>
      <c r="S8" s="27"/>
      <c r="T8" s="27"/>
      <c r="U8" s="27"/>
      <c r="V8" s="27"/>
      <c r="W8" s="27"/>
      <c r="X8" s="27"/>
      <c r="Y8" s="27"/>
      <c r="Z8" s="27"/>
    </row>
    <row r="9" spans="1:26">
      <c r="A9" s="7" t="s">
        <v>1246</v>
      </c>
      <c r="B9" s="7"/>
      <c r="C9" s="31"/>
      <c r="D9" s="7"/>
      <c r="E9" s="27"/>
      <c r="F9" s="27"/>
      <c r="G9" s="27"/>
      <c r="H9" s="27"/>
      <c r="I9" s="27"/>
      <c r="J9" s="27"/>
      <c r="K9" s="27"/>
      <c r="L9" s="27"/>
      <c r="M9" s="27"/>
      <c r="N9" s="27"/>
      <c r="O9" s="27"/>
      <c r="P9" s="27"/>
      <c r="Q9" s="27"/>
      <c r="R9" s="27"/>
      <c r="S9" s="27"/>
      <c r="T9" s="27"/>
      <c r="U9" s="27"/>
      <c r="V9" s="27"/>
      <c r="W9" s="27"/>
      <c r="X9" s="27"/>
      <c r="Y9" s="27"/>
      <c r="Z9" s="27"/>
    </row>
    <row r="10" spans="1:26">
      <c r="A10" s="7" t="s">
        <v>1247</v>
      </c>
      <c r="B10" s="7" t="s">
        <v>1248</v>
      </c>
      <c r="C10" s="7" t="s">
        <v>1249</v>
      </c>
      <c r="D10" s="7" t="s">
        <v>1250</v>
      </c>
      <c r="E10" s="27"/>
      <c r="F10" s="27"/>
      <c r="G10" s="27"/>
      <c r="H10" s="27"/>
      <c r="I10" s="27"/>
      <c r="J10" s="27"/>
      <c r="K10" s="27"/>
      <c r="L10" s="27"/>
      <c r="M10" s="27"/>
      <c r="N10" s="27"/>
      <c r="O10" s="27"/>
      <c r="P10" s="27"/>
      <c r="Q10" s="27"/>
      <c r="R10" s="27"/>
      <c r="S10" s="27"/>
      <c r="T10" s="27"/>
      <c r="U10" s="27"/>
      <c r="V10" s="27"/>
      <c r="W10" s="27"/>
      <c r="X10" s="27"/>
      <c r="Y10" s="27"/>
      <c r="Z10" s="27"/>
    </row>
    <row r="11" spans="1:26">
      <c r="A11" s="32" t="s">
        <v>953</v>
      </c>
      <c r="B11" s="32">
        <v>4</v>
      </c>
      <c r="C11" s="6">
        <v>0.28599999999999998</v>
      </c>
      <c r="D11" s="32"/>
      <c r="E11" s="27"/>
      <c r="F11" s="27"/>
      <c r="G11" s="27"/>
      <c r="H11" s="27"/>
      <c r="I11" s="27"/>
      <c r="J11" s="27"/>
      <c r="K11" s="27"/>
      <c r="L11" s="27"/>
      <c r="M11" s="27"/>
      <c r="N11" s="27"/>
      <c r="O11" s="27"/>
      <c r="P11" s="27"/>
      <c r="Q11" s="27"/>
      <c r="R11" s="27"/>
      <c r="S11" s="27"/>
      <c r="T11" s="27"/>
      <c r="U11" s="27"/>
      <c r="V11" s="27"/>
      <c r="W11" s="27"/>
      <c r="X11" s="27"/>
      <c r="Y11" s="27"/>
      <c r="Z11" s="27"/>
    </row>
    <row r="12" spans="1:26">
      <c r="A12" s="32" t="s">
        <v>898</v>
      </c>
      <c r="B12" s="32">
        <v>2</v>
      </c>
      <c r="C12" s="6">
        <v>0.14299999999999999</v>
      </c>
      <c r="D12" s="32" t="s">
        <v>85</v>
      </c>
      <c r="E12" s="27"/>
      <c r="F12" s="27"/>
      <c r="G12" s="27"/>
      <c r="H12" s="27"/>
      <c r="I12" s="27"/>
      <c r="J12" s="27"/>
      <c r="K12" s="27"/>
      <c r="L12" s="27"/>
      <c r="M12" s="27"/>
      <c r="N12" s="27"/>
      <c r="O12" s="27"/>
      <c r="P12" s="27"/>
      <c r="Q12" s="27"/>
      <c r="R12" s="27"/>
      <c r="S12" s="27"/>
      <c r="T12" s="27"/>
      <c r="U12" s="27"/>
      <c r="V12" s="27"/>
      <c r="W12" s="27"/>
      <c r="X12" s="27"/>
      <c r="Y12" s="27"/>
      <c r="Z12" s="27"/>
    </row>
    <row r="13" spans="1:26">
      <c r="A13" s="32" t="s">
        <v>897</v>
      </c>
      <c r="B13" s="32">
        <v>2</v>
      </c>
      <c r="C13" s="6">
        <v>0.14299999999999999</v>
      </c>
      <c r="D13" s="32" t="s">
        <v>76</v>
      </c>
      <c r="E13" s="27"/>
      <c r="F13" s="27"/>
      <c r="G13" s="27"/>
      <c r="H13" s="27"/>
      <c r="I13" s="27"/>
      <c r="J13" s="27"/>
      <c r="K13" s="27"/>
      <c r="L13" s="27"/>
      <c r="M13" s="27"/>
      <c r="N13" s="27"/>
      <c r="O13" s="27"/>
      <c r="P13" s="27"/>
      <c r="Q13" s="27"/>
      <c r="R13" s="27"/>
      <c r="S13" s="27"/>
      <c r="T13" s="27"/>
      <c r="U13" s="27"/>
      <c r="V13" s="27"/>
      <c r="W13" s="27"/>
      <c r="X13" s="27"/>
      <c r="Y13" s="27"/>
      <c r="Z13" s="27"/>
    </row>
    <row r="14" spans="1:26">
      <c r="A14" s="32" t="s">
        <v>895</v>
      </c>
      <c r="B14" s="32">
        <v>1</v>
      </c>
      <c r="C14" s="6">
        <v>7.0999999999999994E-2</v>
      </c>
      <c r="D14" s="32" t="s">
        <v>76</v>
      </c>
      <c r="E14" s="27"/>
      <c r="F14" s="27"/>
      <c r="G14" s="27"/>
      <c r="H14" s="27"/>
      <c r="I14" s="27"/>
      <c r="J14" s="27"/>
      <c r="K14" s="27"/>
      <c r="L14" s="27"/>
      <c r="M14" s="27"/>
      <c r="N14" s="27"/>
      <c r="O14" s="27"/>
      <c r="P14" s="27"/>
      <c r="Q14" s="27"/>
      <c r="R14" s="27"/>
      <c r="S14" s="27"/>
      <c r="T14" s="27"/>
      <c r="U14" s="27"/>
      <c r="V14" s="27"/>
      <c r="W14" s="27"/>
      <c r="X14" s="27"/>
      <c r="Y14" s="27"/>
      <c r="Z14" s="27"/>
    </row>
    <row r="15" spans="1:26">
      <c r="A15" s="32" t="s">
        <v>1199</v>
      </c>
      <c r="B15" s="32">
        <v>1</v>
      </c>
      <c r="C15" s="6">
        <v>7.0999999999999994E-2</v>
      </c>
      <c r="D15" s="32" t="s">
        <v>76</v>
      </c>
      <c r="E15" s="27"/>
      <c r="F15" s="27"/>
      <c r="G15" s="27"/>
      <c r="H15" s="27"/>
      <c r="I15" s="27"/>
      <c r="J15" s="27"/>
      <c r="K15" s="27"/>
      <c r="L15" s="27"/>
      <c r="M15" s="27"/>
      <c r="N15" s="27"/>
      <c r="O15" s="27"/>
      <c r="P15" s="27"/>
      <c r="Q15" s="27"/>
      <c r="R15" s="27"/>
      <c r="S15" s="27"/>
      <c r="T15" s="27"/>
      <c r="U15" s="27"/>
      <c r="V15" s="27"/>
      <c r="W15" s="27"/>
      <c r="X15" s="27"/>
      <c r="Y15" s="27"/>
      <c r="Z15" s="27"/>
    </row>
    <row r="16" spans="1:26">
      <c r="A16" s="32" t="s">
        <v>1227</v>
      </c>
      <c r="B16" s="32">
        <v>1</v>
      </c>
      <c r="C16" s="6">
        <v>7.0999999999999994E-2</v>
      </c>
      <c r="D16" s="32" t="s">
        <v>76</v>
      </c>
      <c r="E16" s="27"/>
      <c r="F16" s="27"/>
      <c r="G16" s="27"/>
      <c r="H16" s="27"/>
      <c r="I16" s="27"/>
      <c r="J16" s="27"/>
      <c r="K16" s="27"/>
      <c r="L16" s="27"/>
      <c r="M16" s="27"/>
      <c r="N16" s="27"/>
      <c r="O16" s="27"/>
      <c r="P16" s="27"/>
      <c r="Q16" s="27"/>
      <c r="R16" s="27"/>
      <c r="S16" s="27"/>
      <c r="T16" s="27"/>
      <c r="U16" s="27"/>
      <c r="V16" s="27"/>
      <c r="W16" s="27"/>
      <c r="X16" s="27"/>
      <c r="Y16" s="27"/>
      <c r="Z16" s="27"/>
    </row>
    <row r="17" spans="1:26">
      <c r="A17" s="32" t="s">
        <v>1231</v>
      </c>
      <c r="B17" s="32">
        <v>1</v>
      </c>
      <c r="C17" s="6">
        <v>7.0999999999999994E-2</v>
      </c>
      <c r="D17" s="32" t="s">
        <v>76</v>
      </c>
      <c r="E17" s="27"/>
      <c r="F17" s="27"/>
      <c r="G17" s="27"/>
      <c r="H17" s="27"/>
      <c r="I17" s="27"/>
      <c r="J17" s="27"/>
      <c r="K17" s="27"/>
      <c r="L17" s="27"/>
      <c r="M17" s="27"/>
      <c r="N17" s="27"/>
      <c r="O17" s="27"/>
      <c r="P17" s="27"/>
      <c r="Q17" s="27"/>
      <c r="R17" s="27"/>
      <c r="S17" s="27"/>
      <c r="T17" s="27"/>
      <c r="U17" s="27"/>
      <c r="V17" s="27"/>
      <c r="W17" s="27"/>
      <c r="X17" s="27"/>
      <c r="Y17" s="27"/>
      <c r="Z17" s="27"/>
    </row>
    <row r="18" spans="1:26" ht="21" customHeight="1">
      <c r="A18" s="32" t="s">
        <v>1251</v>
      </c>
      <c r="B18" s="32">
        <v>14</v>
      </c>
      <c r="C18" s="6">
        <v>1</v>
      </c>
      <c r="D18" s="32"/>
      <c r="E18" s="27"/>
      <c r="F18" s="27"/>
      <c r="G18" s="27"/>
      <c r="H18" s="27"/>
      <c r="I18" s="27"/>
      <c r="J18" s="27"/>
      <c r="K18" s="27"/>
      <c r="L18" s="27"/>
      <c r="M18" s="27"/>
      <c r="N18" s="27"/>
      <c r="O18" s="27"/>
      <c r="P18" s="27"/>
      <c r="Q18" s="27"/>
      <c r="R18" s="27"/>
      <c r="S18" s="27"/>
      <c r="T18" s="27"/>
      <c r="U18" s="27"/>
      <c r="V18" s="27"/>
      <c r="W18" s="27"/>
      <c r="X18" s="27"/>
      <c r="Y18" s="27"/>
      <c r="Z18" s="27"/>
    </row>
    <row r="19" spans="1:26">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row>
    <row r="20" spans="1:26">
      <c r="A20" s="7" t="s">
        <v>1252</v>
      </c>
      <c r="B20" s="7"/>
      <c r="C20" s="31"/>
      <c r="D20" s="33"/>
      <c r="E20" s="27"/>
      <c r="F20" s="27"/>
      <c r="G20" s="27"/>
      <c r="H20" s="27"/>
      <c r="I20" s="27"/>
      <c r="J20" s="27"/>
      <c r="K20" s="27"/>
      <c r="L20" s="27"/>
      <c r="M20" s="27"/>
      <c r="N20" s="27"/>
      <c r="O20" s="27"/>
      <c r="P20" s="27"/>
      <c r="Q20" s="27"/>
      <c r="R20" s="27"/>
      <c r="S20" s="27"/>
      <c r="T20" s="27"/>
      <c r="U20" s="27"/>
      <c r="V20" s="27"/>
      <c r="W20" s="27"/>
      <c r="X20" s="27"/>
      <c r="Y20" s="27"/>
      <c r="Z20" s="27"/>
    </row>
    <row r="21" spans="1:26">
      <c r="A21" s="7" t="s">
        <v>1250</v>
      </c>
      <c r="B21" s="7" t="s">
        <v>1248</v>
      </c>
      <c r="C21" s="7" t="s">
        <v>1253</v>
      </c>
      <c r="D21" s="33"/>
      <c r="E21" s="27"/>
      <c r="F21" s="27"/>
      <c r="G21" s="27"/>
      <c r="H21" s="27"/>
      <c r="I21" s="27"/>
      <c r="J21" s="27"/>
      <c r="K21" s="27"/>
      <c r="L21" s="27"/>
      <c r="M21" s="27"/>
      <c r="N21" s="27"/>
      <c r="O21" s="27"/>
      <c r="P21" s="27"/>
      <c r="Q21" s="27"/>
      <c r="R21" s="27"/>
      <c r="S21" s="27"/>
      <c r="T21" s="27"/>
      <c r="U21" s="27"/>
      <c r="V21" s="27"/>
      <c r="W21" s="27"/>
      <c r="X21" s="27"/>
      <c r="Y21" s="27"/>
      <c r="Z21" s="27"/>
    </row>
    <row r="22" spans="1:26">
      <c r="A22" s="32" t="s">
        <v>85</v>
      </c>
      <c r="B22" s="32">
        <v>2</v>
      </c>
      <c r="C22" s="6">
        <v>0.14299999999999999</v>
      </c>
      <c r="D22" s="33"/>
      <c r="E22" s="27"/>
      <c r="F22" s="27"/>
      <c r="G22" s="27"/>
      <c r="H22" s="27"/>
      <c r="I22" s="27"/>
      <c r="J22" s="27"/>
      <c r="K22" s="27"/>
      <c r="L22" s="27"/>
      <c r="M22" s="27"/>
      <c r="N22" s="27"/>
      <c r="O22" s="27"/>
      <c r="P22" s="27"/>
      <c r="Q22" s="27"/>
      <c r="R22" s="27"/>
      <c r="S22" s="27"/>
      <c r="T22" s="27"/>
      <c r="U22" s="27"/>
      <c r="V22" s="27"/>
      <c r="W22" s="27"/>
      <c r="X22" s="27"/>
      <c r="Y22" s="27"/>
      <c r="Z22" s="27"/>
    </row>
    <row r="23" spans="1:26">
      <c r="A23" s="32" t="s">
        <v>76</v>
      </c>
      <c r="B23" s="32">
        <v>6</v>
      </c>
      <c r="C23" s="6">
        <v>0.42899999999999999</v>
      </c>
      <c r="D23" s="33"/>
      <c r="E23" s="27"/>
      <c r="F23" s="27"/>
      <c r="G23" s="27"/>
      <c r="H23" s="27"/>
      <c r="I23" s="27"/>
      <c r="J23" s="27"/>
      <c r="K23" s="27"/>
      <c r="L23" s="27"/>
      <c r="M23" s="27"/>
      <c r="N23" s="27"/>
      <c r="O23" s="27"/>
      <c r="P23" s="27"/>
      <c r="Q23" s="27"/>
      <c r="R23" s="27"/>
      <c r="S23" s="27"/>
      <c r="T23" s="27"/>
      <c r="U23" s="27"/>
      <c r="V23" s="27"/>
      <c r="W23" s="27"/>
      <c r="X23" s="27"/>
      <c r="Y23" s="27"/>
      <c r="Z23" s="27"/>
    </row>
    <row r="24" spans="1:26">
      <c r="A24" s="32" t="s">
        <v>72</v>
      </c>
      <c r="B24" s="32">
        <v>2</v>
      </c>
      <c r="C24" s="6">
        <v>0.14299999999999999</v>
      </c>
      <c r="D24" s="33"/>
      <c r="E24" s="27"/>
      <c r="F24" s="27"/>
      <c r="G24" s="27"/>
      <c r="H24" s="27"/>
      <c r="I24" s="27"/>
      <c r="J24" s="27"/>
      <c r="K24" s="27"/>
      <c r="L24" s="27"/>
      <c r="M24" s="27"/>
      <c r="N24" s="27"/>
      <c r="O24" s="27"/>
      <c r="P24" s="27"/>
      <c r="Q24" s="27"/>
      <c r="R24" s="27"/>
      <c r="S24" s="27"/>
      <c r="T24" s="27"/>
      <c r="U24" s="27"/>
      <c r="V24" s="27"/>
      <c r="W24" s="27"/>
      <c r="X24" s="27"/>
      <c r="Y24" s="27"/>
      <c r="Z24" s="27"/>
    </row>
    <row r="25" spans="1:26">
      <c r="A25" s="32" t="s">
        <v>887</v>
      </c>
      <c r="B25" s="32">
        <v>0</v>
      </c>
      <c r="C25" s="6">
        <v>0</v>
      </c>
      <c r="D25" s="33"/>
      <c r="E25" s="27"/>
      <c r="F25" s="27"/>
      <c r="G25" s="27"/>
      <c r="H25" s="27"/>
      <c r="I25" s="27"/>
      <c r="J25" s="27"/>
      <c r="K25" s="27"/>
      <c r="L25" s="27"/>
      <c r="M25" s="27"/>
      <c r="N25" s="27"/>
      <c r="O25" s="27"/>
      <c r="P25" s="27"/>
      <c r="Q25" s="27"/>
      <c r="R25" s="27"/>
      <c r="S25" s="27"/>
      <c r="T25" s="27"/>
      <c r="U25" s="27"/>
      <c r="V25" s="27"/>
      <c r="W25" s="27"/>
      <c r="X25" s="27"/>
      <c r="Y25" s="27"/>
      <c r="Z25" s="27"/>
    </row>
    <row r="26" spans="1:26">
      <c r="A26" s="32" t="s">
        <v>1254</v>
      </c>
      <c r="B26" s="32">
        <v>4</v>
      </c>
      <c r="C26" s="6">
        <v>0.28599999999999998</v>
      </c>
      <c r="D26" s="33"/>
      <c r="E26" s="27"/>
      <c r="F26" s="27"/>
      <c r="G26" s="27"/>
      <c r="H26" s="27"/>
      <c r="I26" s="27"/>
      <c r="J26" s="27"/>
      <c r="K26" s="27"/>
      <c r="L26" s="27"/>
      <c r="M26" s="27"/>
      <c r="N26" s="27"/>
      <c r="O26" s="27"/>
      <c r="P26" s="27"/>
      <c r="Q26" s="27"/>
      <c r="R26" s="27"/>
      <c r="S26" s="27"/>
      <c r="T26" s="27"/>
      <c r="U26" s="27"/>
      <c r="V26" s="27"/>
      <c r="W26" s="27"/>
      <c r="X26" s="27"/>
      <c r="Y26" s="27"/>
      <c r="Z26" s="27"/>
    </row>
    <row r="27" spans="1:26">
      <c r="A27" s="33"/>
      <c r="B27" s="33"/>
      <c r="C27" s="34"/>
      <c r="D27" s="33"/>
      <c r="E27" s="33"/>
      <c r="F27" s="33"/>
      <c r="G27" s="33"/>
      <c r="H27" s="33"/>
      <c r="I27" s="33"/>
      <c r="J27" s="33"/>
      <c r="K27" s="33"/>
      <c r="L27" s="33"/>
      <c r="M27" s="33"/>
      <c r="N27" s="33"/>
      <c r="O27" s="33"/>
      <c r="P27" s="33"/>
      <c r="Q27" s="33"/>
      <c r="R27" s="33"/>
      <c r="S27" s="33"/>
      <c r="T27" s="33"/>
      <c r="U27" s="33"/>
      <c r="V27" s="33"/>
      <c r="W27" s="33"/>
      <c r="X27" s="33"/>
      <c r="Y27" s="33"/>
      <c r="Z27" s="33"/>
    </row>
    <row r="28" spans="1:26">
      <c r="A28" s="7" t="s">
        <v>1255</v>
      </c>
      <c r="B28" s="7"/>
      <c r="C28" s="31"/>
      <c r="D28" s="7"/>
      <c r="E28" s="31"/>
      <c r="F28" s="7"/>
      <c r="G28" s="27"/>
      <c r="H28" s="27"/>
      <c r="I28" s="27"/>
      <c r="J28" s="27"/>
      <c r="K28" s="27"/>
      <c r="L28" s="27"/>
      <c r="M28" s="27"/>
      <c r="N28" s="27"/>
      <c r="O28" s="27"/>
      <c r="P28" s="27"/>
      <c r="Q28" s="27"/>
      <c r="R28" s="27"/>
      <c r="S28" s="27"/>
      <c r="T28" s="27"/>
      <c r="U28" s="27"/>
      <c r="V28" s="27"/>
      <c r="W28" s="27"/>
      <c r="X28" s="27"/>
      <c r="Y28" s="27"/>
      <c r="Z28" s="27"/>
    </row>
    <row r="29" spans="1:26">
      <c r="A29" s="7" t="s">
        <v>1256</v>
      </c>
      <c r="B29" s="7" t="s">
        <v>1257</v>
      </c>
      <c r="C29" s="7" t="s">
        <v>1258</v>
      </c>
      <c r="D29" s="7" t="s">
        <v>1259</v>
      </c>
      <c r="E29" s="7" t="s">
        <v>1260</v>
      </c>
      <c r="F29" s="7" t="s">
        <v>59</v>
      </c>
      <c r="G29" s="27"/>
      <c r="H29" s="27"/>
      <c r="I29" s="27"/>
      <c r="J29" s="27"/>
      <c r="K29" s="27"/>
      <c r="L29" s="27"/>
      <c r="M29" s="27"/>
      <c r="N29" s="27"/>
      <c r="O29" s="27"/>
      <c r="P29" s="27"/>
      <c r="Q29" s="27"/>
      <c r="R29" s="27"/>
      <c r="S29" s="27"/>
      <c r="T29" s="27"/>
      <c r="U29" s="27"/>
      <c r="V29" s="27"/>
      <c r="W29" s="27"/>
      <c r="X29" s="27"/>
      <c r="Y29" s="27"/>
      <c r="Z29" s="27"/>
    </row>
    <row r="30" spans="1:26">
      <c r="A30" s="32">
        <v>1</v>
      </c>
      <c r="B30" s="32" t="s">
        <v>898</v>
      </c>
      <c r="C30" s="32" t="s">
        <v>1363</v>
      </c>
      <c r="D30" s="32">
        <v>2</v>
      </c>
      <c r="E30" s="32" t="s">
        <v>30</v>
      </c>
      <c r="F30" s="32" t="s">
        <v>12</v>
      </c>
      <c r="G30" s="27"/>
      <c r="H30" s="27"/>
      <c r="I30" s="27"/>
      <c r="J30" s="27"/>
      <c r="K30" s="27"/>
      <c r="L30" s="27"/>
      <c r="M30" s="27"/>
      <c r="N30" s="27"/>
      <c r="O30" s="27"/>
      <c r="P30" s="27"/>
      <c r="Q30" s="27"/>
      <c r="R30" s="27"/>
      <c r="S30" s="27"/>
      <c r="T30" s="27"/>
      <c r="U30" s="27"/>
      <c r="V30" s="27"/>
      <c r="W30" s="27"/>
      <c r="X30" s="27"/>
      <c r="Y30" s="27"/>
      <c r="Z30" s="27"/>
    </row>
    <row r="31" spans="1:26">
      <c r="A31" s="32">
        <v>2</v>
      </c>
      <c r="B31" s="32" t="s">
        <v>897</v>
      </c>
      <c r="C31" s="32" t="s">
        <v>1364</v>
      </c>
      <c r="D31" s="32">
        <v>2</v>
      </c>
      <c r="E31" s="32" t="s">
        <v>30</v>
      </c>
      <c r="F31" s="32" t="s">
        <v>9</v>
      </c>
      <c r="G31" s="27"/>
      <c r="H31" s="27"/>
      <c r="I31" s="27"/>
      <c r="J31" s="27"/>
      <c r="K31" s="27"/>
      <c r="L31" s="27"/>
      <c r="M31" s="27"/>
      <c r="N31" s="27"/>
      <c r="O31" s="27"/>
      <c r="P31" s="27"/>
      <c r="Q31" s="27"/>
      <c r="R31" s="27"/>
      <c r="S31" s="27"/>
      <c r="T31" s="27"/>
      <c r="U31" s="27"/>
      <c r="V31" s="27"/>
      <c r="W31" s="27"/>
      <c r="X31" s="27"/>
      <c r="Y31" s="27"/>
      <c r="Z31" s="27"/>
    </row>
    <row r="32" spans="1:26">
      <c r="A32" s="32">
        <v>3</v>
      </c>
      <c r="B32" s="32" t="s">
        <v>1227</v>
      </c>
      <c r="C32" s="32" t="s">
        <v>1365</v>
      </c>
      <c r="D32" s="32">
        <v>1</v>
      </c>
      <c r="E32" s="32" t="s">
        <v>30</v>
      </c>
      <c r="F32" s="32" t="s">
        <v>52</v>
      </c>
      <c r="G32" s="27"/>
      <c r="H32" s="27"/>
      <c r="I32" s="27"/>
      <c r="J32" s="27"/>
      <c r="K32" s="27"/>
      <c r="L32" s="27"/>
      <c r="M32" s="27"/>
      <c r="N32" s="27"/>
      <c r="O32" s="27"/>
      <c r="P32" s="27"/>
      <c r="Q32" s="27"/>
      <c r="R32" s="27"/>
      <c r="S32" s="27"/>
      <c r="T32" s="27"/>
      <c r="U32" s="27"/>
      <c r="V32" s="27"/>
      <c r="W32" s="27"/>
      <c r="X32" s="27"/>
      <c r="Y32" s="27"/>
      <c r="Z32" s="27"/>
    </row>
    <row r="33" spans="1:26">
      <c r="A33" s="32">
        <v>4</v>
      </c>
      <c r="B33" s="32" t="s">
        <v>1231</v>
      </c>
      <c r="C33" s="32" t="s">
        <v>1366</v>
      </c>
      <c r="D33" s="32">
        <v>1</v>
      </c>
      <c r="E33" s="32" t="s">
        <v>30</v>
      </c>
      <c r="F33" s="32" t="s">
        <v>52</v>
      </c>
      <c r="G33" s="27"/>
      <c r="H33" s="27"/>
      <c r="I33" s="27"/>
      <c r="J33" s="27"/>
      <c r="K33" s="27"/>
      <c r="L33" s="27"/>
      <c r="M33" s="27"/>
      <c r="N33" s="27"/>
      <c r="O33" s="27"/>
      <c r="P33" s="27"/>
      <c r="Q33" s="27"/>
      <c r="R33" s="27"/>
      <c r="S33" s="27"/>
      <c r="T33" s="27"/>
      <c r="U33" s="27"/>
      <c r="V33" s="27"/>
      <c r="W33" s="27"/>
      <c r="X33" s="27"/>
      <c r="Y33" s="27"/>
      <c r="Z33" s="27"/>
    </row>
    <row r="34" spans="1:26">
      <c r="A34" s="32">
        <v>5</v>
      </c>
      <c r="B34" s="32" t="s">
        <v>1199</v>
      </c>
      <c r="C34" s="32" t="s">
        <v>1367</v>
      </c>
      <c r="D34" s="32">
        <v>1</v>
      </c>
      <c r="E34" s="32" t="s">
        <v>30</v>
      </c>
      <c r="F34" s="32" t="s">
        <v>52</v>
      </c>
      <c r="G34" s="27"/>
      <c r="H34" s="27"/>
      <c r="I34" s="27"/>
      <c r="J34" s="27"/>
      <c r="K34" s="27"/>
      <c r="L34" s="27"/>
      <c r="M34" s="27"/>
      <c r="N34" s="27"/>
      <c r="O34" s="27"/>
      <c r="P34" s="27"/>
      <c r="Q34" s="27"/>
      <c r="R34" s="27"/>
      <c r="S34" s="27"/>
      <c r="T34" s="27"/>
      <c r="U34" s="27"/>
      <c r="V34" s="27"/>
      <c r="W34" s="27"/>
      <c r="X34" s="27"/>
      <c r="Y34" s="27"/>
      <c r="Z34" s="27"/>
    </row>
    <row r="35" spans="1:26">
      <c r="A35" s="32">
        <v>6</v>
      </c>
      <c r="B35" s="32" t="s">
        <v>895</v>
      </c>
      <c r="C35" s="32" t="s">
        <v>1330</v>
      </c>
      <c r="D35" s="32">
        <v>1</v>
      </c>
      <c r="E35" s="32" t="s">
        <v>30</v>
      </c>
      <c r="F35" s="32" t="s">
        <v>12</v>
      </c>
      <c r="G35" s="27"/>
      <c r="H35" s="27"/>
      <c r="I35" s="27"/>
      <c r="J35" s="27"/>
      <c r="K35" s="27"/>
      <c r="L35" s="27"/>
      <c r="M35" s="27"/>
      <c r="N35" s="27"/>
      <c r="O35" s="27"/>
      <c r="P35" s="27"/>
      <c r="Q35" s="27"/>
      <c r="R35" s="27"/>
      <c r="S35" s="27"/>
      <c r="T35" s="27"/>
      <c r="U35" s="27"/>
      <c r="V35" s="27"/>
      <c r="W35" s="27"/>
      <c r="X35" s="27"/>
      <c r="Y35" s="27"/>
      <c r="Z35" s="27"/>
    </row>
    <row r="36" spans="1:2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row>
    <row r="37" spans="1:26">
      <c r="A37" s="7" t="s">
        <v>1266</v>
      </c>
      <c r="B37" s="7"/>
      <c r="C37" s="31"/>
      <c r="D37" s="7"/>
      <c r="E37" s="7"/>
      <c r="F37" s="27"/>
      <c r="G37" s="27"/>
      <c r="H37" s="27"/>
      <c r="I37" s="27"/>
      <c r="J37" s="27"/>
      <c r="K37" s="27"/>
      <c r="L37" s="27"/>
      <c r="M37" s="27"/>
      <c r="N37" s="27"/>
      <c r="O37" s="27"/>
      <c r="P37" s="27"/>
      <c r="Q37" s="27"/>
      <c r="R37" s="27"/>
      <c r="S37" s="27"/>
      <c r="T37" s="27"/>
      <c r="U37" s="27"/>
      <c r="V37" s="27"/>
      <c r="W37" s="27"/>
      <c r="X37" s="27"/>
      <c r="Y37" s="27"/>
      <c r="Z37" s="27"/>
    </row>
    <row r="38" spans="1:26">
      <c r="A38" s="7" t="s">
        <v>1267</v>
      </c>
      <c r="B38" s="7" t="s">
        <v>1247</v>
      </c>
      <c r="C38" s="7" t="s">
        <v>1248</v>
      </c>
      <c r="D38" s="7" t="s">
        <v>1268</v>
      </c>
      <c r="E38" s="7" t="s">
        <v>1269</v>
      </c>
      <c r="F38" s="27"/>
      <c r="G38" s="27"/>
      <c r="H38" s="27"/>
      <c r="I38" s="27"/>
      <c r="J38" s="27"/>
      <c r="K38" s="27"/>
      <c r="L38" s="27"/>
      <c r="M38" s="27"/>
      <c r="N38" s="27"/>
      <c r="O38" s="27"/>
      <c r="P38" s="27"/>
      <c r="Q38" s="27"/>
      <c r="R38" s="27"/>
      <c r="S38" s="27"/>
      <c r="T38" s="27"/>
      <c r="U38" s="27"/>
      <c r="V38" s="27"/>
      <c r="W38" s="27"/>
      <c r="X38" s="27"/>
      <c r="Y38" s="27"/>
      <c r="Z38" s="27"/>
    </row>
    <row r="39" spans="1:26">
      <c r="A39" s="32" t="s">
        <v>12</v>
      </c>
      <c r="B39" s="32" t="s">
        <v>898</v>
      </c>
      <c r="C39" s="32">
        <v>2</v>
      </c>
      <c r="D39" s="32" t="s">
        <v>1368</v>
      </c>
      <c r="E39" s="32" t="s">
        <v>30</v>
      </c>
      <c r="F39" s="27"/>
      <c r="G39" s="27"/>
      <c r="H39" s="27"/>
      <c r="I39" s="27"/>
      <c r="J39" s="27"/>
      <c r="K39" s="27"/>
      <c r="L39" s="27"/>
      <c r="M39" s="27"/>
      <c r="N39" s="27"/>
      <c r="O39" s="27"/>
      <c r="P39" s="27"/>
      <c r="Q39" s="27"/>
      <c r="R39" s="27"/>
      <c r="S39" s="27"/>
      <c r="T39" s="27"/>
      <c r="U39" s="27"/>
      <c r="V39" s="27"/>
      <c r="W39" s="27"/>
      <c r="X39" s="27"/>
      <c r="Y39" s="27"/>
      <c r="Z39" s="27"/>
    </row>
    <row r="40" spans="1:26">
      <c r="A40" s="32" t="s">
        <v>12</v>
      </c>
      <c r="B40" s="32" t="s">
        <v>895</v>
      </c>
      <c r="C40" s="32">
        <v>1</v>
      </c>
      <c r="D40" s="32" t="s">
        <v>1369</v>
      </c>
      <c r="E40" s="32" t="s">
        <v>30</v>
      </c>
      <c r="F40" s="27"/>
      <c r="G40" s="27"/>
      <c r="H40" s="27"/>
      <c r="I40" s="27"/>
      <c r="J40" s="27"/>
      <c r="K40" s="27"/>
      <c r="L40" s="27"/>
      <c r="M40" s="27"/>
      <c r="N40" s="27"/>
      <c r="O40" s="27"/>
      <c r="P40" s="27"/>
      <c r="Q40" s="27"/>
      <c r="R40" s="27"/>
      <c r="S40" s="27"/>
      <c r="T40" s="27"/>
      <c r="U40" s="27"/>
      <c r="V40" s="27"/>
      <c r="W40" s="27"/>
      <c r="X40" s="27"/>
      <c r="Y40" s="27"/>
      <c r="Z40" s="27"/>
    </row>
    <row r="41" spans="1:26">
      <c r="A41" s="32" t="s">
        <v>9</v>
      </c>
      <c r="B41" s="32" t="s">
        <v>897</v>
      </c>
      <c r="C41" s="32">
        <v>2</v>
      </c>
      <c r="D41" s="32" t="s">
        <v>1370</v>
      </c>
      <c r="E41" s="32" t="s">
        <v>30</v>
      </c>
      <c r="F41" s="27"/>
      <c r="G41" s="27"/>
      <c r="H41" s="27"/>
      <c r="I41" s="27"/>
      <c r="J41" s="27"/>
      <c r="K41" s="27"/>
      <c r="L41" s="27"/>
      <c r="M41" s="27"/>
      <c r="N41" s="27"/>
      <c r="O41" s="27"/>
      <c r="P41" s="27"/>
      <c r="Q41" s="27"/>
      <c r="R41" s="27"/>
      <c r="S41" s="27"/>
      <c r="T41" s="27"/>
      <c r="U41" s="27"/>
      <c r="V41" s="27"/>
      <c r="W41" s="27"/>
      <c r="X41" s="27"/>
      <c r="Y41" s="27"/>
      <c r="Z41" s="27"/>
    </row>
    <row r="42" spans="1:26">
      <c r="A42" s="32" t="s">
        <v>52</v>
      </c>
      <c r="B42" s="32" t="s">
        <v>1227</v>
      </c>
      <c r="C42" s="32">
        <v>1</v>
      </c>
      <c r="D42" s="32" t="s">
        <v>1371</v>
      </c>
      <c r="E42" s="32" t="s">
        <v>30</v>
      </c>
      <c r="F42" s="27"/>
      <c r="G42" s="27"/>
      <c r="H42" s="27"/>
      <c r="I42" s="27"/>
      <c r="J42" s="27"/>
      <c r="K42" s="27"/>
      <c r="L42" s="27"/>
      <c r="M42" s="27"/>
      <c r="N42" s="27"/>
      <c r="O42" s="27"/>
      <c r="P42" s="27"/>
      <c r="Q42" s="27"/>
      <c r="R42" s="27"/>
      <c r="S42" s="27"/>
      <c r="T42" s="27"/>
      <c r="U42" s="27"/>
      <c r="V42" s="27"/>
      <c r="W42" s="27"/>
      <c r="X42" s="27"/>
      <c r="Y42" s="27"/>
      <c r="Z42" s="27"/>
    </row>
    <row r="43" spans="1:26">
      <c r="A43" s="32" t="s">
        <v>52</v>
      </c>
      <c r="B43" s="32" t="s">
        <v>1231</v>
      </c>
      <c r="C43" s="32">
        <v>1</v>
      </c>
      <c r="D43" s="32" t="s">
        <v>1372</v>
      </c>
      <c r="E43" s="32" t="s">
        <v>30</v>
      </c>
      <c r="F43" s="27"/>
      <c r="G43" s="27"/>
      <c r="H43" s="27"/>
      <c r="I43" s="27"/>
      <c r="J43" s="27"/>
      <c r="K43" s="27"/>
      <c r="L43" s="27"/>
      <c r="M43" s="27"/>
      <c r="N43" s="27"/>
      <c r="O43" s="27"/>
      <c r="P43" s="27"/>
      <c r="Q43" s="27"/>
      <c r="R43" s="27"/>
      <c r="S43" s="27"/>
      <c r="T43" s="27"/>
      <c r="U43" s="27"/>
      <c r="V43" s="27"/>
      <c r="W43" s="27"/>
      <c r="X43" s="27"/>
      <c r="Y43" s="27"/>
      <c r="Z43" s="27"/>
    </row>
    <row r="44" spans="1:26">
      <c r="A44" s="32" t="s">
        <v>52</v>
      </c>
      <c r="B44" s="32" t="s">
        <v>1199</v>
      </c>
      <c r="C44" s="32">
        <v>1</v>
      </c>
      <c r="D44" s="32" t="s">
        <v>1373</v>
      </c>
      <c r="E44" s="32" t="s">
        <v>30</v>
      </c>
      <c r="F44" s="27"/>
      <c r="G44" s="27"/>
      <c r="H44" s="27"/>
      <c r="I44" s="27"/>
      <c r="J44" s="27"/>
      <c r="K44" s="27"/>
      <c r="L44" s="27"/>
      <c r="M44" s="27"/>
      <c r="N44" s="27"/>
      <c r="O44" s="27"/>
      <c r="P44" s="27"/>
      <c r="Q44" s="27"/>
      <c r="R44" s="27"/>
      <c r="S44" s="27"/>
      <c r="T44" s="27"/>
      <c r="U44" s="27"/>
      <c r="V44" s="27"/>
      <c r="W44" s="27"/>
      <c r="X44" s="27"/>
      <c r="Y44" s="27"/>
      <c r="Z44" s="27"/>
    </row>
    <row r="45" spans="1:26">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spans="1:26">
      <c r="A46" s="7" t="s">
        <v>1276</v>
      </c>
      <c r="B46" s="7"/>
      <c r="C46" s="34"/>
      <c r="D46" s="33"/>
      <c r="E46" s="27"/>
      <c r="F46" s="27"/>
      <c r="G46" s="27"/>
      <c r="H46" s="27"/>
      <c r="I46" s="27"/>
      <c r="J46" s="27"/>
      <c r="K46" s="27"/>
      <c r="L46" s="27"/>
      <c r="M46" s="27"/>
      <c r="N46" s="27"/>
      <c r="O46" s="27"/>
      <c r="P46" s="27"/>
      <c r="Q46" s="27"/>
      <c r="R46" s="27"/>
      <c r="S46" s="27"/>
      <c r="T46" s="27"/>
      <c r="U46" s="27"/>
      <c r="V46" s="27"/>
      <c r="W46" s="27"/>
      <c r="X46" s="27"/>
      <c r="Y46" s="27"/>
      <c r="Z46" s="27"/>
    </row>
    <row r="47" spans="1:26">
      <c r="A47" s="7" t="s">
        <v>98</v>
      </c>
      <c r="B47" s="7" t="s">
        <v>99</v>
      </c>
      <c r="C47" s="33"/>
      <c r="D47" s="33"/>
      <c r="E47" s="27"/>
      <c r="F47" s="27"/>
      <c r="G47" s="27"/>
      <c r="H47" s="27"/>
      <c r="I47" s="27"/>
      <c r="J47" s="27"/>
      <c r="K47" s="27"/>
      <c r="L47" s="27"/>
      <c r="M47" s="27"/>
      <c r="N47" s="27"/>
      <c r="O47" s="27"/>
      <c r="P47" s="27"/>
      <c r="Q47" s="27"/>
      <c r="R47" s="27"/>
      <c r="S47" s="27"/>
      <c r="T47" s="27"/>
      <c r="U47" s="27"/>
      <c r="V47" s="27"/>
      <c r="W47" s="27"/>
      <c r="X47" s="27"/>
      <c r="Y47" s="27"/>
      <c r="Z47" s="27"/>
    </row>
    <row r="48" spans="1:26">
      <c r="A48" s="32" t="s">
        <v>100</v>
      </c>
      <c r="B48" s="32">
        <v>0.28599999999999998</v>
      </c>
      <c r="C48" s="34"/>
      <c r="D48" s="33"/>
      <c r="E48" s="27"/>
      <c r="F48" s="27"/>
      <c r="G48" s="27"/>
      <c r="H48" s="27"/>
      <c r="I48" s="27"/>
      <c r="J48" s="27"/>
      <c r="K48" s="27"/>
      <c r="L48" s="27"/>
      <c r="M48" s="27"/>
      <c r="N48" s="27"/>
      <c r="O48" s="27"/>
      <c r="P48" s="27"/>
      <c r="Q48" s="27"/>
      <c r="R48" s="27"/>
      <c r="S48" s="27"/>
      <c r="T48" s="27"/>
      <c r="U48" s="27"/>
      <c r="V48" s="27"/>
      <c r="W48" s="27"/>
      <c r="X48" s="27"/>
      <c r="Y48" s="27"/>
      <c r="Z48" s="27"/>
    </row>
    <row r="49" spans="1:26">
      <c r="A49" s="32" t="s">
        <v>1374</v>
      </c>
      <c r="B49" s="32">
        <v>0.14299999999999999</v>
      </c>
      <c r="C49" s="34"/>
      <c r="D49" s="33"/>
      <c r="E49" s="27"/>
      <c r="F49" s="27"/>
      <c r="G49" s="27"/>
      <c r="H49" s="27"/>
      <c r="I49" s="27"/>
      <c r="J49" s="27"/>
      <c r="K49" s="27"/>
      <c r="L49" s="27"/>
      <c r="M49" s="27"/>
      <c r="N49" s="27"/>
      <c r="O49" s="27"/>
      <c r="P49" s="27"/>
      <c r="Q49" s="27"/>
      <c r="R49" s="27"/>
      <c r="S49" s="27"/>
      <c r="T49" s="27"/>
      <c r="U49" s="27"/>
      <c r="V49" s="27"/>
      <c r="W49" s="27"/>
      <c r="X49" s="27"/>
      <c r="Y49" s="27"/>
      <c r="Z49" s="27"/>
    </row>
    <row r="50" spans="1:26">
      <c r="A50" s="32" t="s">
        <v>1278</v>
      </c>
      <c r="B50" s="32">
        <v>0.57099999999999995</v>
      </c>
      <c r="C50" s="34"/>
      <c r="D50" s="33"/>
      <c r="E50" s="27"/>
      <c r="F50" s="27"/>
      <c r="G50" s="27"/>
      <c r="H50" s="27"/>
      <c r="I50" s="27"/>
      <c r="J50" s="27"/>
      <c r="K50" s="27"/>
      <c r="L50" s="27"/>
      <c r="M50" s="27"/>
      <c r="N50" s="27"/>
      <c r="O50" s="27"/>
      <c r="P50" s="27"/>
      <c r="Q50" s="27"/>
      <c r="R50" s="27"/>
      <c r="S50" s="27"/>
      <c r="T50" s="27"/>
      <c r="U50" s="27"/>
      <c r="V50" s="27"/>
      <c r="W50" s="27"/>
      <c r="X50" s="27"/>
      <c r="Y50" s="27"/>
      <c r="Z50" s="27"/>
    </row>
    <row r="51" spans="1:26">
      <c r="A51" s="32" t="s">
        <v>1346</v>
      </c>
      <c r="B51" s="32">
        <v>0.214</v>
      </c>
      <c r="C51" s="34"/>
      <c r="D51" s="33"/>
      <c r="E51" s="27"/>
      <c r="F51" s="27"/>
      <c r="G51" s="27"/>
      <c r="H51" s="27"/>
      <c r="I51" s="27"/>
      <c r="J51" s="27"/>
      <c r="K51" s="27"/>
      <c r="L51" s="27"/>
      <c r="M51" s="27"/>
      <c r="N51" s="27"/>
      <c r="O51" s="27"/>
      <c r="P51" s="27"/>
      <c r="Q51" s="27"/>
      <c r="R51" s="27"/>
      <c r="S51" s="27"/>
      <c r="T51" s="27"/>
      <c r="U51" s="27"/>
      <c r="V51" s="27"/>
      <c r="W51" s="27"/>
      <c r="X51" s="27"/>
      <c r="Y51" s="27"/>
      <c r="Z51" s="27"/>
    </row>
    <row r="52" spans="1:26">
      <c r="A52" s="32" t="s">
        <v>1375</v>
      </c>
      <c r="B52" s="32">
        <v>0.214</v>
      </c>
      <c r="C52" s="34"/>
      <c r="D52" s="33"/>
      <c r="E52" s="33"/>
      <c r="F52" s="33"/>
      <c r="G52" s="33"/>
      <c r="H52" s="33"/>
      <c r="I52" s="33"/>
      <c r="J52" s="33"/>
      <c r="K52" s="33"/>
      <c r="L52" s="33"/>
      <c r="M52" s="33"/>
      <c r="N52" s="33"/>
      <c r="O52" s="33"/>
      <c r="P52" s="33"/>
      <c r="Q52" s="33"/>
      <c r="R52" s="33"/>
      <c r="S52" s="33"/>
      <c r="T52" s="33"/>
      <c r="U52" s="33"/>
      <c r="V52" s="33"/>
      <c r="W52" s="33"/>
      <c r="X52" s="33"/>
      <c r="Y52" s="33"/>
      <c r="Z52" s="33"/>
    </row>
    <row r="53" spans="1:26">
      <c r="A53" s="32" t="s">
        <v>1376</v>
      </c>
      <c r="B53" s="32">
        <v>0.28599999999999998</v>
      </c>
      <c r="C53" s="34"/>
      <c r="D53" s="33"/>
      <c r="E53" s="33"/>
      <c r="F53" s="33"/>
      <c r="G53" s="33"/>
      <c r="H53" s="33"/>
      <c r="I53" s="33"/>
      <c r="J53" s="33"/>
      <c r="K53" s="33"/>
      <c r="L53" s="33"/>
      <c r="M53" s="33"/>
      <c r="N53" s="33"/>
      <c r="O53" s="33"/>
      <c r="P53" s="33"/>
      <c r="Q53" s="33"/>
      <c r="R53" s="33"/>
      <c r="S53" s="33"/>
      <c r="T53" s="33"/>
      <c r="U53" s="33"/>
      <c r="V53" s="33"/>
      <c r="W53" s="33"/>
      <c r="X53" s="33"/>
      <c r="Y53" s="33"/>
      <c r="Z53" s="33"/>
    </row>
    <row r="54" spans="1:26">
      <c r="A54" s="33"/>
      <c r="B54" s="33"/>
      <c r="C54" s="34"/>
      <c r="D54" s="33"/>
      <c r="E54" s="33"/>
      <c r="F54" s="33"/>
      <c r="G54" s="33"/>
      <c r="H54" s="33"/>
      <c r="I54" s="33"/>
      <c r="J54" s="33"/>
      <c r="K54" s="33"/>
      <c r="L54" s="33"/>
      <c r="M54" s="33"/>
      <c r="N54" s="33"/>
      <c r="O54" s="33"/>
      <c r="P54" s="33"/>
      <c r="Q54" s="33"/>
      <c r="R54" s="33"/>
      <c r="S54" s="33"/>
      <c r="T54" s="33"/>
      <c r="U54" s="33"/>
      <c r="V54" s="33"/>
      <c r="W54" s="33"/>
      <c r="X54" s="33"/>
      <c r="Y54" s="33"/>
      <c r="Z54" s="33"/>
    </row>
    <row r="55" spans="1:26">
      <c r="A55" s="7" t="s">
        <v>1280</v>
      </c>
      <c r="B55" s="7"/>
      <c r="C55" s="31"/>
      <c r="D55" s="33"/>
      <c r="E55" s="27"/>
      <c r="F55" s="27"/>
      <c r="G55" s="27"/>
      <c r="H55" s="27"/>
      <c r="I55" s="27"/>
      <c r="J55" s="27"/>
      <c r="K55" s="27"/>
      <c r="L55" s="27"/>
      <c r="M55" s="27"/>
      <c r="N55" s="27"/>
      <c r="O55" s="27"/>
      <c r="P55" s="27"/>
      <c r="Q55" s="27"/>
      <c r="R55" s="27"/>
      <c r="S55" s="27"/>
      <c r="T55" s="27"/>
      <c r="U55" s="27"/>
      <c r="V55" s="27"/>
      <c r="W55" s="27"/>
      <c r="X55" s="27"/>
      <c r="Y55" s="27"/>
      <c r="Z55" s="27"/>
    </row>
    <row r="56" spans="1:26">
      <c r="A56" s="7" t="s">
        <v>1281</v>
      </c>
      <c r="B56" s="7" t="s">
        <v>1349</v>
      </c>
      <c r="C56" s="7" t="s">
        <v>919</v>
      </c>
      <c r="D56" s="33"/>
      <c r="E56" s="27"/>
      <c r="F56" s="27"/>
      <c r="G56" s="27"/>
      <c r="H56" s="27"/>
      <c r="I56" s="27"/>
      <c r="J56" s="27"/>
      <c r="K56" s="27"/>
      <c r="L56" s="27"/>
      <c r="M56" s="27"/>
      <c r="N56" s="27"/>
      <c r="O56" s="27"/>
      <c r="P56" s="27"/>
      <c r="Q56" s="27"/>
      <c r="R56" s="27"/>
      <c r="S56" s="27"/>
      <c r="T56" s="27"/>
      <c r="U56" s="27"/>
      <c r="V56" s="27"/>
      <c r="W56" s="27"/>
      <c r="X56" s="27"/>
      <c r="Y56" s="27"/>
      <c r="Z56" s="27"/>
    </row>
    <row r="57" spans="1:26">
      <c r="A57" s="32" t="s">
        <v>1377</v>
      </c>
      <c r="B57" s="32" t="s">
        <v>30</v>
      </c>
      <c r="C57" s="32" t="s">
        <v>85</v>
      </c>
      <c r="D57" s="33"/>
      <c r="E57" s="27"/>
      <c r="F57" s="27"/>
      <c r="G57" s="27"/>
      <c r="H57" s="27"/>
      <c r="I57" s="27"/>
      <c r="J57" s="27"/>
      <c r="K57" s="27"/>
      <c r="L57" s="27"/>
      <c r="M57" s="27"/>
      <c r="N57" s="27"/>
      <c r="O57" s="27"/>
      <c r="P57" s="27"/>
      <c r="Q57" s="27"/>
      <c r="R57" s="27"/>
      <c r="S57" s="27"/>
      <c r="T57" s="27"/>
      <c r="U57" s="27"/>
      <c r="V57" s="27"/>
      <c r="W57" s="27"/>
      <c r="X57" s="27"/>
      <c r="Y57" s="27"/>
      <c r="Z57" s="27"/>
    </row>
    <row r="58" spans="1:26">
      <c r="A58" s="32" t="s">
        <v>1378</v>
      </c>
      <c r="B58" s="32" t="s">
        <v>30</v>
      </c>
      <c r="C58" s="32" t="s">
        <v>76</v>
      </c>
      <c r="D58" s="33"/>
      <c r="E58" s="27"/>
      <c r="F58" s="27"/>
      <c r="G58" s="27"/>
      <c r="H58" s="27"/>
      <c r="I58" s="27"/>
      <c r="J58" s="27"/>
      <c r="K58" s="27"/>
      <c r="L58" s="27"/>
      <c r="M58" s="27"/>
      <c r="N58" s="27"/>
      <c r="O58" s="27"/>
      <c r="P58" s="27"/>
      <c r="Q58" s="27"/>
      <c r="R58" s="27"/>
      <c r="S58" s="27"/>
      <c r="T58" s="27"/>
      <c r="U58" s="27"/>
      <c r="V58" s="27"/>
      <c r="W58" s="27"/>
      <c r="X58" s="27"/>
      <c r="Y58" s="27"/>
      <c r="Z58" s="27"/>
    </row>
    <row r="59" spans="1:26">
      <c r="A59" s="32" t="s">
        <v>1379</v>
      </c>
      <c r="B59" s="32" t="s">
        <v>30</v>
      </c>
      <c r="C59" s="32" t="s">
        <v>76</v>
      </c>
      <c r="D59" s="33"/>
      <c r="E59" s="27"/>
      <c r="F59" s="27"/>
      <c r="G59" s="27"/>
      <c r="H59" s="27"/>
      <c r="I59" s="27"/>
      <c r="J59" s="27"/>
      <c r="K59" s="27"/>
      <c r="L59" s="27"/>
      <c r="M59" s="27"/>
      <c r="N59" s="27"/>
      <c r="O59" s="27"/>
      <c r="P59" s="27"/>
      <c r="Q59" s="27"/>
      <c r="R59" s="27"/>
      <c r="S59" s="27"/>
      <c r="T59" s="27"/>
      <c r="U59" s="27"/>
      <c r="V59" s="27"/>
      <c r="W59" s="27"/>
      <c r="X59" s="27"/>
      <c r="Y59" s="27"/>
      <c r="Z59" s="27"/>
    </row>
    <row r="60" spans="1:26">
      <c r="A60" s="32" t="s">
        <v>1380</v>
      </c>
      <c r="B60" s="32" t="s">
        <v>30</v>
      </c>
      <c r="C60" s="32" t="s">
        <v>76</v>
      </c>
      <c r="D60" s="33"/>
      <c r="E60" s="27"/>
      <c r="F60" s="27"/>
      <c r="G60" s="27"/>
      <c r="H60" s="27"/>
      <c r="I60" s="27"/>
      <c r="J60" s="27"/>
      <c r="K60" s="27"/>
      <c r="L60" s="27"/>
      <c r="M60" s="27"/>
      <c r="N60" s="27"/>
      <c r="O60" s="27"/>
      <c r="P60" s="27"/>
      <c r="Q60" s="27"/>
      <c r="R60" s="27"/>
      <c r="S60" s="27"/>
      <c r="T60" s="27"/>
      <c r="U60" s="27"/>
      <c r="V60" s="27"/>
      <c r="W60" s="27"/>
      <c r="X60" s="27"/>
      <c r="Y60" s="27"/>
      <c r="Z60" s="27"/>
    </row>
    <row r="61" spans="1:26">
      <c r="A61" s="32" t="s">
        <v>1381</v>
      </c>
      <c r="B61" s="32" t="s">
        <v>30</v>
      </c>
      <c r="C61" s="32" t="s">
        <v>76</v>
      </c>
      <c r="D61" s="33"/>
      <c r="E61" s="27"/>
      <c r="F61" s="27"/>
      <c r="G61" s="27"/>
      <c r="H61" s="27"/>
      <c r="I61" s="27"/>
      <c r="J61" s="27"/>
      <c r="K61" s="27"/>
      <c r="L61" s="27"/>
      <c r="M61" s="27"/>
      <c r="N61" s="27"/>
      <c r="O61" s="27"/>
      <c r="P61" s="27"/>
      <c r="Q61" s="27"/>
      <c r="R61" s="27"/>
      <c r="S61" s="27"/>
      <c r="T61" s="27"/>
      <c r="U61" s="27"/>
      <c r="V61" s="27"/>
      <c r="W61" s="27"/>
      <c r="X61" s="27"/>
      <c r="Y61" s="27"/>
      <c r="Z61" s="27"/>
    </row>
    <row r="62" spans="1:26">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spans="1:26">
      <c r="A63" s="7" t="s">
        <v>1288</v>
      </c>
      <c r="B63" s="7"/>
      <c r="C63" s="31"/>
      <c r="D63" s="7"/>
      <c r="E63" s="7"/>
      <c r="F63" s="27"/>
      <c r="G63" s="27"/>
      <c r="H63" s="27"/>
      <c r="I63" s="27"/>
      <c r="J63" s="27"/>
      <c r="K63" s="27"/>
      <c r="L63" s="27"/>
      <c r="M63" s="27"/>
      <c r="N63" s="27"/>
      <c r="O63" s="27"/>
      <c r="P63" s="27"/>
      <c r="Q63" s="27"/>
      <c r="R63" s="27"/>
      <c r="S63" s="27"/>
      <c r="T63" s="27"/>
      <c r="U63" s="27"/>
      <c r="V63" s="27"/>
      <c r="W63" s="27"/>
      <c r="X63" s="27"/>
      <c r="Y63" s="27"/>
      <c r="Z63" s="27"/>
    </row>
    <row r="64" spans="1:26">
      <c r="A64" s="7" t="s">
        <v>79</v>
      </c>
      <c r="B64" s="7" t="s">
        <v>1289</v>
      </c>
      <c r="C64" s="7" t="s">
        <v>1290</v>
      </c>
      <c r="D64" s="7" t="s">
        <v>1291</v>
      </c>
      <c r="E64" s="7" t="s">
        <v>1292</v>
      </c>
      <c r="F64" s="27"/>
      <c r="G64" s="27"/>
      <c r="H64" s="27"/>
      <c r="I64" s="27"/>
      <c r="J64" s="27"/>
      <c r="K64" s="27"/>
      <c r="L64" s="27"/>
      <c r="M64" s="27"/>
      <c r="N64" s="27"/>
      <c r="O64" s="27"/>
      <c r="P64" s="27"/>
      <c r="Q64" s="27"/>
      <c r="R64" s="27"/>
      <c r="S64" s="27"/>
      <c r="T64" s="27"/>
      <c r="U64" s="27"/>
      <c r="V64" s="27"/>
      <c r="W64" s="27"/>
      <c r="X64" s="27"/>
      <c r="Y64" s="27"/>
      <c r="Z64" s="27"/>
    </row>
    <row r="65" spans="1:26">
      <c r="A65" s="32">
        <v>1</v>
      </c>
      <c r="B65" s="32" t="s">
        <v>1382</v>
      </c>
      <c r="C65" s="32" t="s">
        <v>65</v>
      </c>
      <c r="D65" s="32" t="s">
        <v>72</v>
      </c>
      <c r="E65" s="32" t="s">
        <v>1294</v>
      </c>
      <c r="F65" s="27"/>
      <c r="G65" s="27"/>
      <c r="H65" s="27"/>
      <c r="I65" s="27"/>
      <c r="J65" s="27"/>
      <c r="K65" s="27"/>
      <c r="L65" s="27"/>
      <c r="M65" s="27"/>
      <c r="N65" s="27"/>
      <c r="O65" s="27"/>
      <c r="P65" s="27"/>
      <c r="Q65" s="27"/>
      <c r="R65" s="27"/>
      <c r="S65" s="27"/>
      <c r="T65" s="27"/>
      <c r="U65" s="27"/>
      <c r="V65" s="27"/>
      <c r="W65" s="27"/>
      <c r="X65" s="27"/>
      <c r="Y65" s="27"/>
      <c r="Z65" s="27"/>
    </row>
    <row r="66" spans="1:26">
      <c r="A66" s="32">
        <v>2</v>
      </c>
      <c r="B66" s="32" t="s">
        <v>1383</v>
      </c>
      <c r="C66" s="32" t="s">
        <v>65</v>
      </c>
      <c r="D66" s="32" t="s">
        <v>72</v>
      </c>
      <c r="E66" s="32" t="s">
        <v>1294</v>
      </c>
      <c r="F66" s="27"/>
      <c r="G66" s="27"/>
      <c r="H66" s="27"/>
      <c r="I66" s="27"/>
      <c r="J66" s="27"/>
      <c r="K66" s="27"/>
      <c r="L66" s="27"/>
      <c r="M66" s="27"/>
      <c r="N66" s="27"/>
      <c r="O66" s="27"/>
      <c r="P66" s="27"/>
      <c r="Q66" s="27"/>
      <c r="R66" s="27"/>
      <c r="S66" s="27"/>
      <c r="T66" s="27"/>
      <c r="U66" s="27"/>
      <c r="V66" s="27"/>
      <c r="W66" s="27"/>
      <c r="X66" s="27"/>
      <c r="Y66" s="27"/>
      <c r="Z66" s="27"/>
    </row>
    <row r="67" spans="1:26">
      <c r="A67" s="32">
        <v>3</v>
      </c>
      <c r="B67" s="32" t="s">
        <v>1384</v>
      </c>
      <c r="C67" s="32" t="s">
        <v>76</v>
      </c>
      <c r="D67" s="32" t="s">
        <v>887</v>
      </c>
      <c r="E67" s="32" t="s">
        <v>1294</v>
      </c>
      <c r="F67" s="27"/>
      <c r="G67" s="27"/>
      <c r="H67" s="27"/>
      <c r="I67" s="27"/>
      <c r="J67" s="27"/>
      <c r="K67" s="27"/>
      <c r="L67" s="27"/>
      <c r="M67" s="27"/>
      <c r="N67" s="27"/>
      <c r="O67" s="27"/>
      <c r="P67" s="27"/>
      <c r="Q67" s="27"/>
      <c r="R67" s="27"/>
      <c r="S67" s="27"/>
      <c r="T67" s="27"/>
      <c r="U67" s="27"/>
      <c r="V67" s="27"/>
      <c r="W67" s="27"/>
      <c r="X67" s="27"/>
      <c r="Y67" s="27"/>
      <c r="Z67" s="27"/>
    </row>
    <row r="68" spans="1:26">
      <c r="A68" s="32">
        <v>4</v>
      </c>
      <c r="B68" s="32" t="s">
        <v>1385</v>
      </c>
      <c r="C68" s="32" t="s">
        <v>76</v>
      </c>
      <c r="D68" s="32" t="s">
        <v>887</v>
      </c>
      <c r="E68" s="32" t="s">
        <v>1294</v>
      </c>
      <c r="F68" s="27"/>
      <c r="G68" s="27"/>
      <c r="H68" s="27"/>
      <c r="I68" s="27"/>
      <c r="J68" s="27"/>
      <c r="K68" s="27"/>
      <c r="L68" s="27"/>
      <c r="M68" s="27"/>
      <c r="N68" s="27"/>
      <c r="O68" s="27"/>
      <c r="P68" s="27"/>
      <c r="Q68" s="27"/>
      <c r="R68" s="27"/>
      <c r="S68" s="27"/>
      <c r="T68" s="27"/>
      <c r="U68" s="27"/>
      <c r="V68" s="27"/>
      <c r="W68" s="27"/>
      <c r="X68" s="27"/>
      <c r="Y68" s="27"/>
      <c r="Z68" s="27"/>
    </row>
    <row r="69" spans="1:26">
      <c r="A69" s="32">
        <v>5</v>
      </c>
      <c r="B69" s="32" t="s">
        <v>1386</v>
      </c>
      <c r="C69" s="32" t="s">
        <v>76</v>
      </c>
      <c r="D69" s="32" t="s">
        <v>72</v>
      </c>
      <c r="E69" s="32" t="s">
        <v>1294</v>
      </c>
      <c r="F69" s="27"/>
      <c r="G69" s="27"/>
      <c r="H69" s="27"/>
      <c r="I69" s="27"/>
      <c r="J69" s="27"/>
      <c r="K69" s="27"/>
      <c r="L69" s="27"/>
      <c r="M69" s="27"/>
      <c r="N69" s="27"/>
      <c r="O69" s="27"/>
      <c r="P69" s="27"/>
      <c r="Q69" s="27"/>
      <c r="R69" s="27"/>
      <c r="S69" s="27"/>
      <c r="T69" s="27"/>
      <c r="U69" s="27"/>
      <c r="V69" s="27"/>
      <c r="W69" s="27"/>
      <c r="X69" s="27"/>
      <c r="Y69" s="27"/>
      <c r="Z69" s="27"/>
    </row>
    <row r="70" spans="1:26">
      <c r="A70" s="32">
        <v>6</v>
      </c>
      <c r="B70" s="32" t="s">
        <v>1387</v>
      </c>
      <c r="C70" s="32" t="s">
        <v>72</v>
      </c>
      <c r="D70" s="32" t="s">
        <v>887</v>
      </c>
      <c r="E70" s="32" t="s">
        <v>1294</v>
      </c>
      <c r="F70" s="27"/>
      <c r="G70" s="27"/>
      <c r="H70" s="27"/>
      <c r="I70" s="27"/>
      <c r="J70" s="27"/>
      <c r="K70" s="27"/>
      <c r="L70" s="27"/>
      <c r="M70" s="27"/>
      <c r="N70" s="27"/>
      <c r="O70" s="27"/>
      <c r="P70" s="27"/>
      <c r="Q70" s="27"/>
      <c r="R70" s="27"/>
      <c r="S70" s="27"/>
      <c r="T70" s="27"/>
      <c r="U70" s="27"/>
      <c r="V70" s="27"/>
      <c r="W70" s="27"/>
      <c r="X70" s="27"/>
      <c r="Y70" s="27"/>
      <c r="Z70" s="27"/>
    </row>
    <row r="71" spans="1:26">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spans="1:26">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spans="1:26">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spans="1:26">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spans="1:26">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spans="1:26">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spans="1:26">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row r="1001" spans="1:26">
      <c r="A1001" s="27"/>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row>
    <row r="1002" spans="1:26">
      <c r="A1002" s="27"/>
      <c r="B1002" s="27"/>
      <c r="C1002" s="27"/>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row>
    <row r="1003" spans="1:26">
      <c r="A1003" s="27"/>
      <c r="B1003" s="27"/>
      <c r="C1003" s="27"/>
      <c r="D1003" s="27"/>
      <c r="E1003" s="27"/>
      <c r="F1003" s="27"/>
      <c r="G1003" s="27"/>
      <c r="H1003" s="27"/>
      <c r="I1003" s="27"/>
      <c r="J1003" s="27"/>
      <c r="K1003" s="27"/>
      <c r="L1003" s="27"/>
      <c r="M1003" s="27"/>
      <c r="N1003" s="27"/>
      <c r="O1003" s="27"/>
      <c r="P1003" s="27"/>
      <c r="Q1003" s="27"/>
      <c r="R1003" s="27"/>
      <c r="S1003" s="27"/>
      <c r="T1003" s="27"/>
      <c r="U1003" s="27"/>
      <c r="V1003" s="27"/>
      <c r="W1003" s="27"/>
      <c r="X1003" s="27"/>
      <c r="Y1003" s="27"/>
      <c r="Z1003" s="27"/>
    </row>
    <row r="1004" spans="1:26">
      <c r="A1004" s="27"/>
      <c r="B1004" s="27"/>
      <c r="C1004" s="27"/>
      <c r="D1004" s="27"/>
      <c r="E1004" s="27"/>
      <c r="F1004" s="27"/>
      <c r="G1004" s="27"/>
      <c r="H1004" s="27"/>
      <c r="I1004" s="27"/>
      <c r="J1004" s="27"/>
      <c r="K1004" s="27"/>
      <c r="L1004" s="27"/>
      <c r="M1004" s="27"/>
      <c r="N1004" s="27"/>
      <c r="O1004" s="27"/>
      <c r="P1004" s="27"/>
      <c r="Q1004" s="27"/>
      <c r="R1004" s="27"/>
      <c r="S1004" s="27"/>
      <c r="T1004" s="27"/>
      <c r="U1004" s="27"/>
      <c r="V1004" s="27"/>
      <c r="W1004" s="27"/>
      <c r="X1004" s="27"/>
      <c r="Y1004" s="27"/>
      <c r="Z1004" s="27"/>
    </row>
    <row r="1005" spans="1:26">
      <c r="A1005" s="27"/>
      <c r="B1005" s="27"/>
      <c r="C1005" s="27"/>
      <c r="D1005" s="27"/>
      <c r="E1005" s="27"/>
      <c r="F1005" s="27"/>
      <c r="G1005" s="27"/>
      <c r="H1005" s="27"/>
      <c r="I1005" s="27"/>
      <c r="J1005" s="27"/>
      <c r="K1005" s="27"/>
      <c r="L1005" s="27"/>
      <c r="M1005" s="27"/>
      <c r="N1005" s="27"/>
      <c r="O1005" s="27"/>
      <c r="P1005" s="27"/>
      <c r="Q1005" s="27"/>
      <c r="R1005" s="27"/>
      <c r="S1005" s="27"/>
      <c r="T1005" s="27"/>
      <c r="U1005" s="27"/>
      <c r="V1005" s="27"/>
      <c r="W1005" s="27"/>
      <c r="X1005" s="27"/>
      <c r="Y1005" s="27"/>
      <c r="Z1005" s="27"/>
    </row>
    <row r="1006" spans="1:26">
      <c r="A1006" s="27"/>
      <c r="B1006" s="27"/>
      <c r="C1006" s="27"/>
      <c r="D1006" s="27"/>
      <c r="E1006" s="27"/>
      <c r="F1006" s="27"/>
      <c r="G1006" s="27"/>
      <c r="H1006" s="27"/>
      <c r="I1006" s="27"/>
      <c r="J1006" s="27"/>
      <c r="K1006" s="27"/>
      <c r="L1006" s="27"/>
      <c r="M1006" s="27"/>
      <c r="N1006" s="27"/>
      <c r="O1006" s="27"/>
      <c r="P1006" s="27"/>
      <c r="Q1006" s="27"/>
      <c r="R1006" s="27"/>
      <c r="S1006" s="27"/>
      <c r="T1006" s="27"/>
      <c r="U1006" s="27"/>
      <c r="V1006" s="27"/>
      <c r="W1006" s="27"/>
      <c r="X1006" s="27"/>
      <c r="Y1006" s="27"/>
      <c r="Z1006" s="27"/>
    </row>
  </sheetData>
  <pageMargins left="0" right="0" top="0" bottom="0" header="0" footer="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72"/>
  <sheetViews>
    <sheetView workbookViewId="0">
      <pane ySplit="1" topLeftCell="A2" activePane="bottomLeft" state="frozen"/>
      <selection pane="bottomLeft" activeCell="B3" sqref="B3"/>
    </sheetView>
  </sheetViews>
  <sheetFormatPr defaultColWidth="12.5703125" defaultRowHeight="15.75" customHeight="1"/>
  <cols>
    <col min="1" max="1" width="39.85546875" customWidth="1"/>
    <col min="2" max="2" width="15" customWidth="1"/>
    <col min="3" max="3" width="13" customWidth="1"/>
    <col min="4" max="4" width="13.42578125" customWidth="1"/>
    <col min="5" max="5" width="21.5703125" customWidth="1"/>
    <col min="6" max="6" width="16.85546875" customWidth="1"/>
    <col min="7" max="7" width="17.42578125" customWidth="1"/>
    <col min="8" max="8" width="18.42578125" customWidth="1"/>
    <col min="9" max="9" width="23" customWidth="1"/>
    <col min="11" max="11" width="31.42578125" customWidth="1"/>
  </cols>
  <sheetData>
    <row r="1" spans="1:26" ht="22.5" customHeight="1">
      <c r="A1" s="37" t="s">
        <v>110</v>
      </c>
      <c r="B1" s="37" t="s">
        <v>1388</v>
      </c>
      <c r="C1" s="37" t="s">
        <v>905</v>
      </c>
      <c r="D1" s="37" t="s">
        <v>907</v>
      </c>
      <c r="E1" s="37" t="s">
        <v>908</v>
      </c>
      <c r="F1" s="37" t="s">
        <v>1389</v>
      </c>
      <c r="G1" s="37" t="s">
        <v>1390</v>
      </c>
      <c r="H1" s="37" t="s">
        <v>1247</v>
      </c>
      <c r="I1" s="37" t="s">
        <v>918</v>
      </c>
      <c r="J1" s="37" t="s">
        <v>919</v>
      </c>
      <c r="K1" s="37" t="s">
        <v>921</v>
      </c>
      <c r="L1" s="27"/>
      <c r="M1" s="27"/>
      <c r="N1" s="27"/>
      <c r="O1" s="27"/>
      <c r="P1" s="27"/>
      <c r="Q1" s="27"/>
      <c r="R1" s="27"/>
      <c r="S1" s="27"/>
      <c r="T1" s="27"/>
      <c r="U1" s="27"/>
      <c r="V1" s="27"/>
      <c r="W1" s="27"/>
      <c r="X1" s="27"/>
      <c r="Y1" s="27"/>
      <c r="Z1" s="27"/>
    </row>
    <row r="2" spans="1:26" ht="22.5" customHeight="1">
      <c r="A2" s="28" t="s">
        <v>131</v>
      </c>
      <c r="B2" s="37" t="s">
        <v>1391</v>
      </c>
      <c r="C2" s="37">
        <v>3</v>
      </c>
      <c r="D2" s="37">
        <v>1</v>
      </c>
      <c r="E2" s="37" t="s">
        <v>924</v>
      </c>
      <c r="F2" s="37" t="s">
        <v>926</v>
      </c>
      <c r="G2" s="37" t="s">
        <v>1392</v>
      </c>
      <c r="H2" s="37" t="s">
        <v>1393</v>
      </c>
      <c r="I2" s="37" t="s">
        <v>1394</v>
      </c>
      <c r="J2" s="37" t="s">
        <v>72</v>
      </c>
      <c r="K2" s="37" t="s">
        <v>1395</v>
      </c>
      <c r="L2" s="27"/>
      <c r="M2" s="27"/>
      <c r="N2" s="27"/>
      <c r="O2" s="27"/>
      <c r="P2" s="27"/>
      <c r="Q2" s="27"/>
      <c r="R2" s="27"/>
      <c r="S2" s="27"/>
      <c r="T2" s="27"/>
      <c r="U2" s="27"/>
      <c r="V2" s="27"/>
      <c r="W2" s="27"/>
      <c r="X2" s="27"/>
      <c r="Y2" s="27"/>
      <c r="Z2" s="27"/>
    </row>
    <row r="3" spans="1:26" ht="22.5" customHeight="1">
      <c r="A3" s="28" t="s">
        <v>146</v>
      </c>
      <c r="B3" s="37" t="s">
        <v>1391</v>
      </c>
      <c r="C3" s="37">
        <v>1</v>
      </c>
      <c r="D3" s="37">
        <v>1</v>
      </c>
      <c r="E3" s="37" t="s">
        <v>924</v>
      </c>
      <c r="F3" s="37" t="s">
        <v>932</v>
      </c>
      <c r="G3" s="37" t="s">
        <v>1396</v>
      </c>
      <c r="H3" s="37" t="s">
        <v>1397</v>
      </c>
      <c r="I3" s="37" t="s">
        <v>1398</v>
      </c>
      <c r="J3" s="37" t="s">
        <v>72</v>
      </c>
      <c r="K3" s="37" t="s">
        <v>1399</v>
      </c>
      <c r="L3" s="27"/>
      <c r="M3" s="27"/>
      <c r="N3" s="27"/>
      <c r="O3" s="27"/>
      <c r="P3" s="27"/>
      <c r="Q3" s="27"/>
      <c r="R3" s="27"/>
      <c r="S3" s="27"/>
      <c r="T3" s="27"/>
      <c r="U3" s="27"/>
      <c r="V3" s="27"/>
      <c r="W3" s="27"/>
      <c r="X3" s="27"/>
      <c r="Y3" s="27"/>
      <c r="Z3" s="27"/>
    </row>
    <row r="4" spans="1:26" ht="22.5" customHeight="1">
      <c r="A4" s="28" t="s">
        <v>173</v>
      </c>
      <c r="B4" s="37" t="s">
        <v>1391</v>
      </c>
      <c r="C4" s="37">
        <v>1</v>
      </c>
      <c r="D4" s="37">
        <v>1</v>
      </c>
      <c r="E4" s="37" t="s">
        <v>924</v>
      </c>
      <c r="F4" s="37" t="s">
        <v>932</v>
      </c>
      <c r="G4" s="37" t="s">
        <v>1400</v>
      </c>
      <c r="H4" s="37" t="s">
        <v>888</v>
      </c>
      <c r="I4" s="37" t="s">
        <v>1401</v>
      </c>
      <c r="J4" s="37" t="s">
        <v>937</v>
      </c>
      <c r="K4" s="37" t="s">
        <v>1402</v>
      </c>
      <c r="L4" s="27"/>
      <c r="M4" s="27"/>
      <c r="N4" s="27"/>
      <c r="O4" s="27"/>
      <c r="P4" s="27"/>
      <c r="Q4" s="27"/>
      <c r="R4" s="27"/>
      <c r="S4" s="27"/>
      <c r="T4" s="27"/>
      <c r="U4" s="27"/>
      <c r="V4" s="27"/>
      <c r="W4" s="27"/>
      <c r="X4" s="27"/>
      <c r="Y4" s="27"/>
      <c r="Z4" s="27"/>
    </row>
    <row r="5" spans="1:26" ht="22.5" customHeight="1">
      <c r="A5" s="28" t="s">
        <v>184</v>
      </c>
      <c r="B5" s="37" t="s">
        <v>1403</v>
      </c>
      <c r="C5" s="37">
        <v>3</v>
      </c>
      <c r="D5" s="37">
        <v>1</v>
      </c>
      <c r="E5" s="37" t="s">
        <v>924</v>
      </c>
      <c r="F5" s="37" t="s">
        <v>926</v>
      </c>
      <c r="G5" s="37" t="s">
        <v>1404</v>
      </c>
      <c r="H5" s="37" t="s">
        <v>1404</v>
      </c>
      <c r="I5" s="37" t="s">
        <v>1405</v>
      </c>
      <c r="J5" s="37" t="s">
        <v>76</v>
      </c>
      <c r="K5" s="37" t="s">
        <v>1406</v>
      </c>
      <c r="L5" s="27"/>
      <c r="M5" s="27"/>
      <c r="N5" s="27"/>
      <c r="O5" s="27"/>
      <c r="P5" s="27"/>
      <c r="Q5" s="27"/>
      <c r="R5" s="27"/>
      <c r="S5" s="27"/>
      <c r="T5" s="27"/>
      <c r="U5" s="27"/>
      <c r="V5" s="27"/>
      <c r="W5" s="27"/>
      <c r="X5" s="27"/>
      <c r="Y5" s="27"/>
      <c r="Z5" s="27"/>
    </row>
    <row r="6" spans="1:26" ht="22.5" customHeight="1">
      <c r="A6" s="28" t="s">
        <v>197</v>
      </c>
      <c r="B6" s="37" t="s">
        <v>1391</v>
      </c>
      <c r="C6" s="37">
        <v>3</v>
      </c>
      <c r="D6" s="37">
        <v>1</v>
      </c>
      <c r="E6" s="37" t="s">
        <v>924</v>
      </c>
      <c r="F6" s="37" t="s">
        <v>926</v>
      </c>
      <c r="G6" s="37" t="s">
        <v>1404</v>
      </c>
      <c r="H6" s="37" t="s">
        <v>1404</v>
      </c>
      <c r="I6" s="37" t="s">
        <v>1407</v>
      </c>
      <c r="J6" s="37" t="s">
        <v>76</v>
      </c>
      <c r="K6" s="37" t="s">
        <v>1408</v>
      </c>
      <c r="L6" s="27"/>
      <c r="M6" s="27"/>
      <c r="N6" s="27"/>
      <c r="O6" s="27"/>
      <c r="P6" s="27"/>
      <c r="Q6" s="27"/>
      <c r="R6" s="27"/>
      <c r="S6" s="27"/>
      <c r="T6" s="27"/>
      <c r="U6" s="27"/>
      <c r="V6" s="27"/>
      <c r="W6" s="27"/>
      <c r="X6" s="27"/>
      <c r="Y6" s="27"/>
      <c r="Z6" s="27"/>
    </row>
    <row r="7" spans="1:26" ht="22.5" customHeight="1">
      <c r="A7" s="28" t="s">
        <v>204</v>
      </c>
      <c r="B7" s="37" t="s">
        <v>1391</v>
      </c>
      <c r="C7" s="37">
        <v>3</v>
      </c>
      <c r="D7" s="37">
        <v>2</v>
      </c>
      <c r="E7" s="37" t="s">
        <v>924</v>
      </c>
      <c r="F7" s="37" t="s">
        <v>926</v>
      </c>
      <c r="G7" s="37" t="s">
        <v>1404</v>
      </c>
      <c r="H7" s="37" t="s">
        <v>1404</v>
      </c>
      <c r="I7" s="37" t="s">
        <v>1409</v>
      </c>
      <c r="J7" s="37" t="s">
        <v>76</v>
      </c>
      <c r="K7" s="37" t="s">
        <v>1410</v>
      </c>
      <c r="L7" s="27"/>
      <c r="M7" s="27"/>
      <c r="N7" s="27"/>
      <c r="O7" s="27"/>
      <c r="P7" s="27"/>
      <c r="Q7" s="27"/>
      <c r="R7" s="27"/>
      <c r="S7" s="27"/>
      <c r="T7" s="27"/>
      <c r="U7" s="27"/>
      <c r="V7" s="27"/>
      <c r="W7" s="27"/>
      <c r="X7" s="27"/>
      <c r="Y7" s="27"/>
      <c r="Z7" s="27"/>
    </row>
    <row r="8" spans="1:26" ht="22.5" customHeight="1">
      <c r="A8" s="28" t="s">
        <v>212</v>
      </c>
      <c r="B8" s="37" t="s">
        <v>1403</v>
      </c>
      <c r="C8" s="37">
        <v>0</v>
      </c>
      <c r="D8" s="37">
        <v>0</v>
      </c>
      <c r="E8" s="37" t="s">
        <v>924</v>
      </c>
      <c r="F8" s="37" t="s">
        <v>932</v>
      </c>
      <c r="G8" s="37" t="s">
        <v>1400</v>
      </c>
      <c r="H8" s="37" t="s">
        <v>1411</v>
      </c>
      <c r="I8" s="37" t="s">
        <v>1412</v>
      </c>
      <c r="J8" s="37" t="s">
        <v>937</v>
      </c>
      <c r="K8" s="37" t="s">
        <v>1413</v>
      </c>
      <c r="L8" s="27"/>
      <c r="M8" s="27"/>
      <c r="N8" s="27"/>
      <c r="O8" s="27"/>
      <c r="P8" s="27"/>
      <c r="Q8" s="27"/>
      <c r="R8" s="27"/>
      <c r="S8" s="27"/>
      <c r="T8" s="27"/>
      <c r="U8" s="27"/>
      <c r="V8" s="27"/>
      <c r="W8" s="27"/>
      <c r="X8" s="27"/>
      <c r="Y8" s="27"/>
      <c r="Z8" s="27"/>
    </row>
    <row r="9" spans="1:26" ht="22.5" customHeight="1">
      <c r="A9" s="28" t="s">
        <v>219</v>
      </c>
      <c r="B9" s="37" t="s">
        <v>1391</v>
      </c>
      <c r="C9" s="37">
        <v>3</v>
      </c>
      <c r="D9" s="37">
        <v>2</v>
      </c>
      <c r="E9" s="37" t="s">
        <v>924</v>
      </c>
      <c r="F9" s="37" t="s">
        <v>926</v>
      </c>
      <c r="G9" s="37" t="s">
        <v>1404</v>
      </c>
      <c r="H9" s="37" t="s">
        <v>1404</v>
      </c>
      <c r="I9" s="37" t="s">
        <v>1414</v>
      </c>
      <c r="J9" s="37" t="s">
        <v>76</v>
      </c>
      <c r="K9" s="37" t="s">
        <v>1415</v>
      </c>
      <c r="L9" s="27"/>
      <c r="M9" s="27"/>
      <c r="N9" s="27"/>
      <c r="O9" s="27"/>
      <c r="P9" s="27"/>
      <c r="Q9" s="27"/>
      <c r="R9" s="27"/>
      <c r="S9" s="27"/>
      <c r="T9" s="27"/>
      <c r="U9" s="27"/>
      <c r="V9" s="27"/>
      <c r="W9" s="27"/>
      <c r="X9" s="27"/>
      <c r="Y9" s="27"/>
      <c r="Z9" s="27"/>
    </row>
    <row r="10" spans="1:26" ht="22.5" customHeight="1">
      <c r="A10" s="28" t="s">
        <v>227</v>
      </c>
      <c r="B10" s="37" t="s">
        <v>1391</v>
      </c>
      <c r="C10" s="37">
        <v>3</v>
      </c>
      <c r="D10" s="37">
        <v>2</v>
      </c>
      <c r="E10" s="37" t="s">
        <v>924</v>
      </c>
      <c r="F10" s="37" t="s">
        <v>926</v>
      </c>
      <c r="G10" s="37" t="s">
        <v>1400</v>
      </c>
      <c r="H10" s="37" t="s">
        <v>888</v>
      </c>
      <c r="I10" s="37" t="s">
        <v>1416</v>
      </c>
      <c r="J10" s="37" t="s">
        <v>937</v>
      </c>
      <c r="K10" s="37" t="s">
        <v>1417</v>
      </c>
      <c r="L10" s="27"/>
      <c r="M10" s="27"/>
      <c r="N10" s="27"/>
      <c r="O10" s="27"/>
      <c r="P10" s="27"/>
      <c r="Q10" s="27"/>
      <c r="R10" s="27"/>
      <c r="S10" s="27"/>
      <c r="T10" s="27"/>
      <c r="U10" s="27"/>
      <c r="V10" s="27"/>
      <c r="W10" s="27"/>
      <c r="X10" s="27"/>
      <c r="Y10" s="27"/>
      <c r="Z10" s="27"/>
    </row>
    <row r="11" spans="1:26" ht="22.5" customHeight="1">
      <c r="A11" s="28" t="s">
        <v>235</v>
      </c>
      <c r="B11" s="37" t="s">
        <v>1391</v>
      </c>
      <c r="C11" s="37">
        <v>1</v>
      </c>
      <c r="D11" s="37">
        <v>1</v>
      </c>
      <c r="E11" s="37" t="s">
        <v>924</v>
      </c>
      <c r="F11" s="37" t="s">
        <v>932</v>
      </c>
      <c r="G11" s="37" t="s">
        <v>1400</v>
      </c>
      <c r="H11" s="37" t="s">
        <v>888</v>
      </c>
      <c r="I11" s="37" t="s">
        <v>1418</v>
      </c>
      <c r="J11" s="37" t="s">
        <v>937</v>
      </c>
      <c r="K11" s="37" t="s">
        <v>1419</v>
      </c>
      <c r="L11" s="27"/>
      <c r="M11" s="27"/>
      <c r="N11" s="27"/>
      <c r="O11" s="27"/>
      <c r="P11" s="27"/>
      <c r="Q11" s="27"/>
      <c r="R11" s="27"/>
      <c r="S11" s="27"/>
      <c r="T11" s="27"/>
      <c r="U11" s="27"/>
      <c r="V11" s="27"/>
      <c r="W11" s="27"/>
      <c r="X11" s="27"/>
      <c r="Y11" s="27"/>
      <c r="Z11" s="27"/>
    </row>
    <row r="12" spans="1:26" ht="22.5" customHeight="1">
      <c r="A12" s="28" t="s">
        <v>242</v>
      </c>
      <c r="B12" s="37" t="s">
        <v>1391</v>
      </c>
      <c r="C12" s="37">
        <v>1</v>
      </c>
      <c r="D12" s="37">
        <v>1</v>
      </c>
      <c r="E12" s="37" t="s">
        <v>924</v>
      </c>
      <c r="F12" s="37" t="s">
        <v>932</v>
      </c>
      <c r="G12" s="37" t="s">
        <v>1400</v>
      </c>
      <c r="H12" s="37" t="s">
        <v>888</v>
      </c>
      <c r="I12" s="37" t="s">
        <v>1418</v>
      </c>
      <c r="J12" s="37" t="s">
        <v>937</v>
      </c>
      <c r="K12" s="37" t="s">
        <v>1420</v>
      </c>
      <c r="L12" s="27"/>
      <c r="M12" s="27"/>
      <c r="N12" s="27"/>
      <c r="O12" s="27"/>
      <c r="P12" s="27"/>
      <c r="Q12" s="27"/>
      <c r="R12" s="27"/>
      <c r="S12" s="27"/>
      <c r="T12" s="27"/>
      <c r="U12" s="27"/>
      <c r="V12" s="27"/>
      <c r="W12" s="27"/>
      <c r="X12" s="27"/>
      <c r="Y12" s="27"/>
      <c r="Z12" s="27"/>
    </row>
    <row r="13" spans="1:26" ht="22.5" customHeight="1">
      <c r="A13" s="28" t="s">
        <v>249</v>
      </c>
      <c r="B13" s="37" t="s">
        <v>1391</v>
      </c>
      <c r="C13" s="37">
        <v>2</v>
      </c>
      <c r="D13" s="37">
        <v>0</v>
      </c>
      <c r="E13" s="37" t="s">
        <v>924</v>
      </c>
      <c r="F13" s="37" t="s">
        <v>932</v>
      </c>
      <c r="G13" s="37" t="s">
        <v>1400</v>
      </c>
      <c r="H13" s="37" t="s">
        <v>1411</v>
      </c>
      <c r="I13" s="37" t="s">
        <v>1421</v>
      </c>
      <c r="J13" s="37" t="s">
        <v>937</v>
      </c>
      <c r="K13" s="37" t="s">
        <v>1422</v>
      </c>
      <c r="L13" s="27"/>
      <c r="M13" s="27"/>
      <c r="N13" s="27"/>
      <c r="O13" s="27"/>
      <c r="P13" s="27"/>
      <c r="Q13" s="27"/>
      <c r="R13" s="27"/>
      <c r="S13" s="27"/>
      <c r="T13" s="27"/>
      <c r="U13" s="27"/>
      <c r="V13" s="27"/>
      <c r="W13" s="27"/>
      <c r="X13" s="27"/>
      <c r="Y13" s="27"/>
      <c r="Z13" s="27"/>
    </row>
    <row r="14" spans="1:26" ht="22.5" customHeight="1">
      <c r="A14" s="28" t="s">
        <v>261</v>
      </c>
      <c r="B14" s="37" t="s">
        <v>1391</v>
      </c>
      <c r="C14" s="37">
        <v>1</v>
      </c>
      <c r="D14" s="37">
        <v>3</v>
      </c>
      <c r="E14" s="37" t="s">
        <v>924</v>
      </c>
      <c r="F14" s="37" t="s">
        <v>926</v>
      </c>
      <c r="G14" s="37" t="s">
        <v>1396</v>
      </c>
      <c r="H14" s="37" t="s">
        <v>1397</v>
      </c>
      <c r="I14" s="37" t="s">
        <v>1423</v>
      </c>
      <c r="J14" s="37" t="s">
        <v>72</v>
      </c>
      <c r="K14" s="37" t="s">
        <v>1424</v>
      </c>
      <c r="L14" s="27"/>
      <c r="M14" s="27"/>
      <c r="N14" s="27"/>
      <c r="O14" s="27"/>
      <c r="P14" s="27"/>
      <c r="Q14" s="27"/>
      <c r="R14" s="27"/>
      <c r="S14" s="27"/>
      <c r="T14" s="27"/>
      <c r="U14" s="27"/>
      <c r="V14" s="27"/>
      <c r="W14" s="27"/>
      <c r="X14" s="27"/>
      <c r="Y14" s="27"/>
      <c r="Z14" s="27"/>
    </row>
    <row r="15" spans="1:26" ht="22.5" customHeight="1">
      <c r="A15" s="28" t="s">
        <v>271</v>
      </c>
      <c r="B15" s="37" t="s">
        <v>1391</v>
      </c>
      <c r="C15" s="37">
        <v>3</v>
      </c>
      <c r="D15" s="37">
        <v>1</v>
      </c>
      <c r="E15" s="37" t="s">
        <v>924</v>
      </c>
      <c r="F15" s="37" t="s">
        <v>926</v>
      </c>
      <c r="G15" s="37" t="s">
        <v>1392</v>
      </c>
      <c r="H15" s="37" t="s">
        <v>1393</v>
      </c>
      <c r="I15" s="37" t="s">
        <v>1425</v>
      </c>
      <c r="J15" s="37" t="s">
        <v>72</v>
      </c>
      <c r="K15" s="37" t="s">
        <v>1426</v>
      </c>
      <c r="L15" s="27"/>
      <c r="M15" s="27"/>
      <c r="N15" s="27"/>
      <c r="O15" s="27"/>
      <c r="P15" s="27"/>
      <c r="Q15" s="27"/>
      <c r="R15" s="27"/>
      <c r="S15" s="27"/>
      <c r="T15" s="27"/>
      <c r="U15" s="27"/>
      <c r="V15" s="27"/>
      <c r="W15" s="27"/>
      <c r="X15" s="27"/>
      <c r="Y15" s="27"/>
      <c r="Z15" s="27"/>
    </row>
    <row r="16" spans="1:26" ht="22.5" customHeight="1">
      <c r="A16" s="28" t="s">
        <v>281</v>
      </c>
      <c r="B16" s="37" t="s">
        <v>1403</v>
      </c>
      <c r="C16" s="37">
        <v>2</v>
      </c>
      <c r="D16" s="37">
        <v>4</v>
      </c>
      <c r="E16" s="37" t="s">
        <v>924</v>
      </c>
      <c r="F16" s="37" t="s">
        <v>926</v>
      </c>
      <c r="G16" s="37" t="s">
        <v>1392</v>
      </c>
      <c r="H16" s="37" t="s">
        <v>1393</v>
      </c>
      <c r="I16" s="37" t="s">
        <v>1427</v>
      </c>
      <c r="J16" s="37" t="s">
        <v>72</v>
      </c>
      <c r="K16" s="37" t="s">
        <v>1428</v>
      </c>
      <c r="L16" s="27"/>
      <c r="M16" s="27"/>
      <c r="N16" s="27"/>
      <c r="O16" s="27"/>
      <c r="P16" s="27"/>
      <c r="Q16" s="27"/>
      <c r="R16" s="27"/>
      <c r="S16" s="27"/>
      <c r="T16" s="27"/>
      <c r="U16" s="27"/>
      <c r="V16" s="27"/>
      <c r="W16" s="27"/>
      <c r="X16" s="27"/>
      <c r="Y16" s="27"/>
      <c r="Z16" s="27"/>
    </row>
    <row r="17" spans="1:26" ht="22.5" customHeight="1">
      <c r="A17" s="28" t="s">
        <v>291</v>
      </c>
      <c r="B17" s="37" t="s">
        <v>1391</v>
      </c>
      <c r="C17" s="37">
        <v>0</v>
      </c>
      <c r="D17" s="37">
        <v>0</v>
      </c>
      <c r="E17" s="37" t="s">
        <v>924</v>
      </c>
      <c r="F17" s="37" t="s">
        <v>932</v>
      </c>
      <c r="G17" s="37" t="s">
        <v>1400</v>
      </c>
      <c r="H17" s="37" t="s">
        <v>1411</v>
      </c>
      <c r="I17" s="37" t="s">
        <v>1429</v>
      </c>
      <c r="J17" s="37" t="s">
        <v>937</v>
      </c>
      <c r="K17" s="37" t="s">
        <v>1430</v>
      </c>
      <c r="L17" s="27"/>
      <c r="M17" s="27"/>
      <c r="N17" s="27"/>
      <c r="O17" s="27"/>
      <c r="P17" s="27"/>
      <c r="Q17" s="27"/>
      <c r="R17" s="27"/>
      <c r="S17" s="27"/>
      <c r="T17" s="27"/>
      <c r="U17" s="27"/>
      <c r="V17" s="27"/>
      <c r="W17" s="27"/>
      <c r="X17" s="27"/>
      <c r="Y17" s="27"/>
      <c r="Z17" s="27"/>
    </row>
    <row r="18" spans="1:26" ht="22.5" customHeight="1">
      <c r="A18" s="28" t="s">
        <v>299</v>
      </c>
      <c r="B18" s="37" t="s">
        <v>1391</v>
      </c>
      <c r="C18" s="37">
        <v>3</v>
      </c>
      <c r="D18" s="37">
        <v>1</v>
      </c>
      <c r="E18" s="37" t="s">
        <v>924</v>
      </c>
      <c r="F18" s="37" t="s">
        <v>926</v>
      </c>
      <c r="G18" s="37" t="s">
        <v>1396</v>
      </c>
      <c r="H18" s="37" t="s">
        <v>1397</v>
      </c>
      <c r="I18" s="37" t="s">
        <v>1431</v>
      </c>
      <c r="J18" s="37" t="s">
        <v>72</v>
      </c>
      <c r="K18" s="37" t="s">
        <v>1432</v>
      </c>
      <c r="L18" s="27"/>
      <c r="M18" s="27"/>
      <c r="N18" s="27"/>
      <c r="O18" s="27"/>
      <c r="P18" s="27"/>
      <c r="Q18" s="27"/>
      <c r="R18" s="27"/>
      <c r="S18" s="27"/>
      <c r="T18" s="27"/>
      <c r="U18" s="27"/>
      <c r="V18" s="27"/>
      <c r="W18" s="27"/>
      <c r="X18" s="27"/>
      <c r="Y18" s="27"/>
      <c r="Z18" s="27"/>
    </row>
    <row r="19" spans="1:26" ht="22.5" customHeight="1">
      <c r="A19" s="28" t="s">
        <v>309</v>
      </c>
      <c r="B19" s="37" t="s">
        <v>1391</v>
      </c>
      <c r="C19" s="37">
        <v>3</v>
      </c>
      <c r="D19" s="37">
        <v>1</v>
      </c>
      <c r="E19" s="37" t="s">
        <v>924</v>
      </c>
      <c r="F19" s="37" t="s">
        <v>926</v>
      </c>
      <c r="G19" s="37" t="s">
        <v>1392</v>
      </c>
      <c r="H19" s="37" t="s">
        <v>1393</v>
      </c>
      <c r="I19" s="37" t="s">
        <v>1433</v>
      </c>
      <c r="J19" s="37" t="s">
        <v>72</v>
      </c>
      <c r="K19" s="37" t="s">
        <v>1434</v>
      </c>
      <c r="L19" s="27"/>
      <c r="M19" s="27"/>
      <c r="N19" s="27"/>
      <c r="O19" s="27"/>
      <c r="P19" s="27"/>
      <c r="Q19" s="27"/>
      <c r="R19" s="27"/>
      <c r="S19" s="27"/>
      <c r="T19" s="27"/>
      <c r="U19" s="27"/>
      <c r="V19" s="27"/>
      <c r="W19" s="27"/>
      <c r="X19" s="27"/>
      <c r="Y19" s="27"/>
      <c r="Z19" s="27"/>
    </row>
    <row r="20" spans="1:26" ht="22.5" customHeight="1">
      <c r="A20" s="28" t="s">
        <v>317</v>
      </c>
      <c r="B20" s="37" t="s">
        <v>1391</v>
      </c>
      <c r="C20" s="37">
        <v>3</v>
      </c>
      <c r="D20" s="37">
        <v>2</v>
      </c>
      <c r="E20" s="37" t="s">
        <v>924</v>
      </c>
      <c r="F20" s="37" t="s">
        <v>932</v>
      </c>
      <c r="G20" s="37" t="s">
        <v>1400</v>
      </c>
      <c r="H20" s="37" t="s">
        <v>888</v>
      </c>
      <c r="I20" s="37" t="s">
        <v>1435</v>
      </c>
      <c r="J20" s="37" t="s">
        <v>937</v>
      </c>
      <c r="K20" s="37" t="s">
        <v>1436</v>
      </c>
      <c r="L20" s="27"/>
      <c r="M20" s="27"/>
      <c r="N20" s="27"/>
      <c r="O20" s="27"/>
      <c r="P20" s="27"/>
      <c r="Q20" s="27"/>
      <c r="R20" s="27"/>
      <c r="S20" s="27"/>
      <c r="T20" s="27"/>
      <c r="U20" s="27"/>
      <c r="V20" s="27"/>
      <c r="W20" s="27"/>
      <c r="X20" s="27"/>
      <c r="Y20" s="27"/>
      <c r="Z20" s="27"/>
    </row>
    <row r="21" spans="1:26" ht="22.5" customHeight="1">
      <c r="A21" s="28" t="s">
        <v>326</v>
      </c>
      <c r="B21" s="37" t="s">
        <v>1391</v>
      </c>
      <c r="C21" s="37">
        <v>2</v>
      </c>
      <c r="D21" s="37">
        <v>2</v>
      </c>
      <c r="E21" s="37" t="s">
        <v>924</v>
      </c>
      <c r="F21" s="37" t="s">
        <v>926</v>
      </c>
      <c r="G21" s="37" t="s">
        <v>1396</v>
      </c>
      <c r="H21" s="37" t="s">
        <v>1397</v>
      </c>
      <c r="I21" s="37" t="s">
        <v>1437</v>
      </c>
      <c r="J21" s="37" t="s">
        <v>72</v>
      </c>
      <c r="K21" s="37" t="s">
        <v>1438</v>
      </c>
      <c r="L21" s="27"/>
      <c r="M21" s="27"/>
      <c r="N21" s="27"/>
      <c r="O21" s="27"/>
      <c r="P21" s="27"/>
      <c r="Q21" s="27"/>
      <c r="R21" s="27"/>
      <c r="S21" s="27"/>
      <c r="T21" s="27"/>
      <c r="U21" s="27"/>
      <c r="V21" s="27"/>
      <c r="W21" s="27"/>
      <c r="X21" s="27"/>
      <c r="Y21" s="27"/>
      <c r="Z21" s="27"/>
    </row>
    <row r="22" spans="1:26" ht="22.5" customHeight="1">
      <c r="A22" s="28" t="s">
        <v>334</v>
      </c>
      <c r="B22" s="37" t="s">
        <v>1391</v>
      </c>
      <c r="C22" s="37">
        <v>2</v>
      </c>
      <c r="D22" s="37">
        <v>1</v>
      </c>
      <c r="E22" s="37" t="s">
        <v>924</v>
      </c>
      <c r="F22" s="37" t="s">
        <v>926</v>
      </c>
      <c r="G22" s="37" t="s">
        <v>1392</v>
      </c>
      <c r="H22" s="37" t="s">
        <v>1393</v>
      </c>
      <c r="I22" s="37" t="s">
        <v>1439</v>
      </c>
      <c r="J22" s="37" t="s">
        <v>72</v>
      </c>
      <c r="K22" s="37" t="s">
        <v>1440</v>
      </c>
      <c r="L22" s="27"/>
      <c r="M22" s="27"/>
      <c r="N22" s="27"/>
      <c r="O22" s="27"/>
      <c r="P22" s="27"/>
      <c r="Q22" s="27"/>
      <c r="R22" s="27"/>
      <c r="S22" s="27"/>
      <c r="T22" s="27"/>
      <c r="U22" s="27"/>
      <c r="V22" s="27"/>
      <c r="W22" s="27"/>
      <c r="X22" s="27"/>
      <c r="Y22" s="27"/>
      <c r="Z22" s="27"/>
    </row>
    <row r="23" spans="1:26" ht="22.5" customHeight="1">
      <c r="A23" s="28" t="s">
        <v>341</v>
      </c>
      <c r="B23" s="38" t="s">
        <v>1403</v>
      </c>
      <c r="C23" s="37">
        <v>2</v>
      </c>
      <c r="D23" s="37">
        <v>1</v>
      </c>
      <c r="E23" s="38" t="s">
        <v>924</v>
      </c>
      <c r="F23" s="38" t="s">
        <v>926</v>
      </c>
      <c r="G23" s="38" t="s">
        <v>1396</v>
      </c>
      <c r="H23" s="38" t="s">
        <v>1397</v>
      </c>
      <c r="I23" s="38" t="s">
        <v>1441</v>
      </c>
      <c r="J23" s="38" t="s">
        <v>887</v>
      </c>
      <c r="K23" s="38" t="s">
        <v>1442</v>
      </c>
      <c r="L23" s="27"/>
      <c r="M23" s="27"/>
      <c r="N23" s="27"/>
      <c r="O23" s="27"/>
      <c r="P23" s="27"/>
      <c r="Q23" s="27"/>
      <c r="R23" s="27"/>
      <c r="S23" s="27"/>
      <c r="T23" s="27"/>
      <c r="U23" s="27"/>
      <c r="V23" s="27"/>
      <c r="W23" s="27"/>
      <c r="X23" s="27"/>
      <c r="Y23" s="27"/>
      <c r="Z23" s="27"/>
    </row>
    <row r="24" spans="1:26" ht="22.5" customHeight="1">
      <c r="A24" s="28" t="s">
        <v>348</v>
      </c>
      <c r="B24" s="38" t="s">
        <v>1391</v>
      </c>
      <c r="C24" s="37">
        <v>6</v>
      </c>
      <c r="D24" s="37">
        <v>5</v>
      </c>
      <c r="E24" s="38" t="s">
        <v>924</v>
      </c>
      <c r="F24" s="38" t="s">
        <v>926</v>
      </c>
      <c r="G24" s="38" t="s">
        <v>1443</v>
      </c>
      <c r="H24" s="38" t="s">
        <v>1444</v>
      </c>
      <c r="I24" s="38" t="s">
        <v>1445</v>
      </c>
      <c r="J24" s="38" t="s">
        <v>76</v>
      </c>
      <c r="K24" s="38" t="s">
        <v>1446</v>
      </c>
      <c r="L24" s="27"/>
      <c r="M24" s="27"/>
      <c r="N24" s="27"/>
      <c r="O24" s="27"/>
      <c r="P24" s="27"/>
      <c r="Q24" s="27"/>
      <c r="R24" s="27"/>
      <c r="S24" s="27"/>
      <c r="T24" s="27"/>
      <c r="U24" s="27"/>
      <c r="V24" s="27"/>
      <c r="W24" s="27"/>
      <c r="X24" s="27"/>
      <c r="Y24" s="27"/>
      <c r="Z24" s="27"/>
    </row>
    <row r="25" spans="1:26" ht="22.5" customHeight="1">
      <c r="A25" s="28" t="s">
        <v>357</v>
      </c>
      <c r="B25" s="38" t="s">
        <v>1391</v>
      </c>
      <c r="C25" s="37">
        <v>4</v>
      </c>
      <c r="D25" s="37">
        <v>4</v>
      </c>
      <c r="E25" s="38" t="s">
        <v>924</v>
      </c>
      <c r="F25" s="38" t="s">
        <v>932</v>
      </c>
      <c r="G25" s="38" t="s">
        <v>1396</v>
      </c>
      <c r="H25" s="38" t="s">
        <v>1397</v>
      </c>
      <c r="I25" s="38" t="s">
        <v>1447</v>
      </c>
      <c r="J25" s="38" t="s">
        <v>887</v>
      </c>
      <c r="K25" s="38" t="s">
        <v>1448</v>
      </c>
      <c r="L25" s="27"/>
      <c r="M25" s="27"/>
      <c r="N25" s="27"/>
      <c r="O25" s="27"/>
      <c r="P25" s="27"/>
      <c r="Q25" s="27"/>
      <c r="R25" s="27"/>
      <c r="S25" s="27"/>
      <c r="T25" s="27"/>
      <c r="U25" s="27"/>
      <c r="V25" s="27"/>
      <c r="W25" s="27"/>
      <c r="X25" s="27"/>
      <c r="Y25" s="27"/>
      <c r="Z25" s="27"/>
    </row>
    <row r="26" spans="1:26" ht="22.5" customHeight="1">
      <c r="A26" s="28" t="s">
        <v>366</v>
      </c>
      <c r="B26" s="38" t="s">
        <v>1391</v>
      </c>
      <c r="C26" s="37">
        <v>3</v>
      </c>
      <c r="D26" s="37">
        <v>2</v>
      </c>
      <c r="E26" s="38" t="s">
        <v>924</v>
      </c>
      <c r="F26" s="38" t="s">
        <v>932</v>
      </c>
      <c r="G26" s="38" t="s">
        <v>1400</v>
      </c>
      <c r="H26" s="38" t="s">
        <v>888</v>
      </c>
      <c r="I26" s="38" t="s">
        <v>1435</v>
      </c>
      <c r="J26" s="38" t="s">
        <v>937</v>
      </c>
      <c r="K26" s="38" t="s">
        <v>1449</v>
      </c>
      <c r="L26" s="27"/>
      <c r="M26" s="27"/>
      <c r="N26" s="27"/>
      <c r="O26" s="27"/>
      <c r="P26" s="27"/>
      <c r="Q26" s="27"/>
      <c r="R26" s="27"/>
      <c r="S26" s="27"/>
      <c r="T26" s="27"/>
      <c r="U26" s="27"/>
      <c r="V26" s="27"/>
      <c r="W26" s="27"/>
      <c r="X26" s="27"/>
      <c r="Y26" s="27"/>
      <c r="Z26" s="27"/>
    </row>
    <row r="27" spans="1:26" ht="22.5" customHeight="1">
      <c r="A27" s="28" t="s">
        <v>376</v>
      </c>
      <c r="B27" s="38" t="s">
        <v>1403</v>
      </c>
      <c r="C27" s="37">
        <v>3</v>
      </c>
      <c r="D27" s="37">
        <v>1</v>
      </c>
      <c r="E27" s="38" t="s">
        <v>924</v>
      </c>
      <c r="F27" s="38" t="s">
        <v>926</v>
      </c>
      <c r="G27" s="38" t="s">
        <v>1396</v>
      </c>
      <c r="H27" s="38" t="s">
        <v>1397</v>
      </c>
      <c r="I27" s="38" t="s">
        <v>1450</v>
      </c>
      <c r="J27" s="38" t="s">
        <v>887</v>
      </c>
      <c r="K27" s="38" t="s">
        <v>1451</v>
      </c>
      <c r="L27" s="27"/>
      <c r="M27" s="27"/>
      <c r="N27" s="27"/>
      <c r="O27" s="27"/>
      <c r="P27" s="27"/>
      <c r="Q27" s="27"/>
      <c r="R27" s="27"/>
      <c r="S27" s="27"/>
      <c r="T27" s="27"/>
      <c r="U27" s="27"/>
      <c r="V27" s="27"/>
      <c r="W27" s="27"/>
      <c r="X27" s="27"/>
      <c r="Y27" s="27"/>
      <c r="Z27" s="27"/>
    </row>
    <row r="28" spans="1:26" ht="22.5" customHeight="1">
      <c r="A28" s="28" t="s">
        <v>384</v>
      </c>
      <c r="B28" s="38" t="s">
        <v>1391</v>
      </c>
      <c r="C28" s="38">
        <v>1</v>
      </c>
      <c r="D28" s="38">
        <v>2</v>
      </c>
      <c r="E28" s="38" t="s">
        <v>924</v>
      </c>
      <c r="F28" s="38" t="s">
        <v>926</v>
      </c>
      <c r="G28" s="38" t="s">
        <v>1404</v>
      </c>
      <c r="H28" s="38" t="s">
        <v>1404</v>
      </c>
      <c r="I28" s="38" t="s">
        <v>1452</v>
      </c>
      <c r="J28" s="38" t="s">
        <v>72</v>
      </c>
      <c r="K28" s="38" t="s">
        <v>1453</v>
      </c>
      <c r="L28" s="27"/>
      <c r="M28" s="27"/>
      <c r="N28" s="27"/>
      <c r="O28" s="27"/>
      <c r="P28" s="27"/>
      <c r="Q28" s="27"/>
      <c r="R28" s="27"/>
      <c r="S28" s="27"/>
      <c r="T28" s="27"/>
      <c r="U28" s="27"/>
      <c r="V28" s="27"/>
      <c r="W28" s="27"/>
      <c r="X28" s="27"/>
      <c r="Y28" s="27"/>
      <c r="Z28" s="27"/>
    </row>
    <row r="29" spans="1:26" ht="22.5" customHeight="1">
      <c r="A29" s="28" t="s">
        <v>394</v>
      </c>
      <c r="B29" s="38" t="s">
        <v>1403</v>
      </c>
      <c r="C29" s="38">
        <v>2</v>
      </c>
      <c r="D29" s="38">
        <v>2</v>
      </c>
      <c r="E29" s="38" t="s">
        <v>924</v>
      </c>
      <c r="F29" s="38" t="s">
        <v>932</v>
      </c>
      <c r="G29" s="38" t="s">
        <v>1400</v>
      </c>
      <c r="H29" s="38" t="s">
        <v>888</v>
      </c>
      <c r="I29" s="38" t="s">
        <v>1435</v>
      </c>
      <c r="J29" s="38" t="s">
        <v>937</v>
      </c>
      <c r="K29" s="38" t="s">
        <v>1454</v>
      </c>
      <c r="L29" s="27"/>
      <c r="M29" s="27"/>
      <c r="N29" s="27"/>
      <c r="O29" s="27"/>
      <c r="P29" s="27"/>
      <c r="Q29" s="27"/>
      <c r="R29" s="27"/>
      <c r="S29" s="27"/>
      <c r="T29" s="27"/>
      <c r="U29" s="27"/>
      <c r="V29" s="27"/>
      <c r="W29" s="27"/>
      <c r="X29" s="27"/>
      <c r="Y29" s="27"/>
      <c r="Z29" s="27"/>
    </row>
    <row r="30" spans="1:26" ht="22.5" customHeight="1">
      <c r="A30" s="28" t="s">
        <v>404</v>
      </c>
      <c r="B30" s="38" t="s">
        <v>1391</v>
      </c>
      <c r="C30" s="38">
        <v>2</v>
      </c>
      <c r="D30" s="38">
        <v>1</v>
      </c>
      <c r="E30" s="38" t="s">
        <v>924</v>
      </c>
      <c r="F30" s="38" t="s">
        <v>926</v>
      </c>
      <c r="G30" s="38" t="s">
        <v>1392</v>
      </c>
      <c r="H30" s="38" t="s">
        <v>1393</v>
      </c>
      <c r="I30" s="38" t="s">
        <v>1455</v>
      </c>
      <c r="J30" s="38" t="s">
        <v>72</v>
      </c>
      <c r="K30" s="38" t="s">
        <v>1456</v>
      </c>
      <c r="L30" s="27"/>
      <c r="M30" s="27"/>
      <c r="N30" s="27"/>
      <c r="O30" s="27"/>
      <c r="P30" s="27"/>
      <c r="Q30" s="27"/>
      <c r="R30" s="27"/>
      <c r="S30" s="27"/>
      <c r="T30" s="27"/>
      <c r="U30" s="27"/>
      <c r="V30" s="27"/>
      <c r="W30" s="27"/>
      <c r="X30" s="27"/>
      <c r="Y30" s="27"/>
      <c r="Z30" s="27"/>
    </row>
    <row r="31" spans="1:26" ht="22.5" customHeight="1">
      <c r="A31" s="28" t="s">
        <v>414</v>
      </c>
      <c r="B31" s="38" t="s">
        <v>1403</v>
      </c>
      <c r="C31" s="38">
        <v>2</v>
      </c>
      <c r="D31" s="38">
        <v>0</v>
      </c>
      <c r="E31" s="38" t="s">
        <v>1457</v>
      </c>
      <c r="F31" s="38" t="s">
        <v>888</v>
      </c>
      <c r="G31" s="38" t="s">
        <v>1458</v>
      </c>
      <c r="H31" s="38" t="s">
        <v>1458</v>
      </c>
      <c r="I31" s="38" t="s">
        <v>1459</v>
      </c>
      <c r="J31" s="38" t="s">
        <v>76</v>
      </c>
      <c r="K31" s="38" t="s">
        <v>1460</v>
      </c>
      <c r="L31" s="27"/>
      <c r="M31" s="27"/>
      <c r="N31" s="27"/>
      <c r="O31" s="27"/>
      <c r="P31" s="27"/>
      <c r="Q31" s="27"/>
      <c r="R31" s="27"/>
      <c r="S31" s="27"/>
      <c r="T31" s="27"/>
      <c r="U31" s="27"/>
      <c r="V31" s="27"/>
      <c r="W31" s="27"/>
      <c r="X31" s="27"/>
      <c r="Y31" s="27"/>
      <c r="Z31" s="27"/>
    </row>
    <row r="32" spans="1:26" ht="22.5" customHeight="1">
      <c r="A32" s="28" t="s">
        <v>448</v>
      </c>
      <c r="B32" s="38" t="s">
        <v>1403</v>
      </c>
      <c r="C32" s="38">
        <v>0</v>
      </c>
      <c r="D32" s="38">
        <v>7</v>
      </c>
      <c r="E32" s="38" t="s">
        <v>924</v>
      </c>
      <c r="F32" s="38" t="s">
        <v>932</v>
      </c>
      <c r="G32" s="38" t="s">
        <v>1400</v>
      </c>
      <c r="H32" s="38" t="s">
        <v>1411</v>
      </c>
      <c r="I32" s="38" t="s">
        <v>1461</v>
      </c>
      <c r="J32" s="38" t="s">
        <v>937</v>
      </c>
      <c r="K32" s="38" t="s">
        <v>1462</v>
      </c>
      <c r="L32" s="27"/>
      <c r="M32" s="27"/>
      <c r="N32" s="27"/>
      <c r="O32" s="27"/>
      <c r="P32" s="27"/>
      <c r="Q32" s="27"/>
      <c r="R32" s="27"/>
      <c r="S32" s="27"/>
      <c r="T32" s="27"/>
      <c r="U32" s="27"/>
      <c r="V32" s="27"/>
      <c r="W32" s="27"/>
      <c r="X32" s="27"/>
      <c r="Y32" s="27"/>
      <c r="Z32" s="27"/>
    </row>
    <row r="33" spans="1:26" ht="22.5" customHeight="1">
      <c r="A33" s="28" t="s">
        <v>459</v>
      </c>
      <c r="B33" s="37" t="s">
        <v>1403</v>
      </c>
      <c r="C33" s="37">
        <v>0</v>
      </c>
      <c r="D33" s="37" t="s">
        <v>1463</v>
      </c>
      <c r="E33" s="38" t="s">
        <v>924</v>
      </c>
      <c r="F33" s="38" t="s">
        <v>926</v>
      </c>
      <c r="G33" s="37" t="s">
        <v>1396</v>
      </c>
      <c r="H33" s="37" t="s">
        <v>1396</v>
      </c>
      <c r="I33" s="37" t="s">
        <v>1464</v>
      </c>
      <c r="J33" s="37" t="s">
        <v>72</v>
      </c>
      <c r="K33" s="37" t="s">
        <v>1465</v>
      </c>
      <c r="L33" s="27"/>
      <c r="M33" s="27"/>
      <c r="N33" s="27"/>
      <c r="O33" s="27"/>
      <c r="P33" s="27"/>
      <c r="Q33" s="27"/>
      <c r="R33" s="27"/>
      <c r="S33" s="27"/>
      <c r="T33" s="27"/>
      <c r="U33" s="27"/>
      <c r="V33" s="27"/>
      <c r="W33" s="27"/>
      <c r="X33" s="27"/>
      <c r="Y33" s="27"/>
      <c r="Z33" s="27"/>
    </row>
    <row r="34" spans="1:26" ht="22.5" customHeight="1">
      <c r="A34" s="28" t="s">
        <v>469</v>
      </c>
      <c r="B34" s="37" t="s">
        <v>1391</v>
      </c>
      <c r="C34" s="37">
        <v>11</v>
      </c>
      <c r="D34" s="37">
        <v>0</v>
      </c>
      <c r="E34" s="38" t="s">
        <v>1457</v>
      </c>
      <c r="F34" s="38" t="s">
        <v>888</v>
      </c>
      <c r="G34" s="37" t="s">
        <v>1458</v>
      </c>
      <c r="H34" s="37" t="s">
        <v>1458</v>
      </c>
      <c r="I34" s="37" t="s">
        <v>1466</v>
      </c>
      <c r="J34" s="37" t="s">
        <v>76</v>
      </c>
      <c r="K34" s="37" t="s">
        <v>1467</v>
      </c>
      <c r="L34" s="27"/>
      <c r="M34" s="27"/>
      <c r="N34" s="27"/>
      <c r="O34" s="27"/>
      <c r="P34" s="27"/>
      <c r="Q34" s="27"/>
      <c r="R34" s="27"/>
      <c r="S34" s="27"/>
      <c r="T34" s="27"/>
      <c r="U34" s="27"/>
      <c r="V34" s="27"/>
      <c r="W34" s="27"/>
      <c r="X34" s="27"/>
      <c r="Y34" s="27"/>
      <c r="Z34" s="27"/>
    </row>
    <row r="35" spans="1:26" ht="22.5" customHeight="1">
      <c r="A35" s="28" t="s">
        <v>477</v>
      </c>
      <c r="B35" s="37" t="s">
        <v>1391</v>
      </c>
      <c r="C35" s="37">
        <v>1</v>
      </c>
      <c r="D35" s="37">
        <v>0</v>
      </c>
      <c r="E35" s="38" t="s">
        <v>1457</v>
      </c>
      <c r="F35" s="38" t="s">
        <v>888</v>
      </c>
      <c r="G35" s="37" t="s">
        <v>1458</v>
      </c>
      <c r="H35" s="37" t="s">
        <v>1458</v>
      </c>
      <c r="I35" s="37" t="s">
        <v>1466</v>
      </c>
      <c r="J35" s="37" t="s">
        <v>76</v>
      </c>
      <c r="K35" s="37" t="s">
        <v>1468</v>
      </c>
      <c r="L35" s="27"/>
      <c r="M35" s="27"/>
      <c r="N35" s="27"/>
      <c r="O35" s="27"/>
      <c r="P35" s="27"/>
      <c r="Q35" s="27"/>
      <c r="R35" s="27"/>
      <c r="S35" s="27"/>
      <c r="T35" s="27"/>
      <c r="U35" s="27"/>
      <c r="V35" s="27"/>
      <c r="W35" s="27"/>
      <c r="X35" s="27"/>
      <c r="Y35" s="27"/>
      <c r="Z35" s="27"/>
    </row>
    <row r="36" spans="1:26" ht="22.5" customHeight="1">
      <c r="A36" s="28" t="s">
        <v>484</v>
      </c>
      <c r="B36" s="37" t="s">
        <v>1391</v>
      </c>
      <c r="C36" s="37">
        <v>1</v>
      </c>
      <c r="D36" s="37">
        <v>2</v>
      </c>
      <c r="E36" s="38" t="s">
        <v>924</v>
      </c>
      <c r="F36" s="38" t="s">
        <v>926</v>
      </c>
      <c r="G36" s="37" t="s">
        <v>1392</v>
      </c>
      <c r="H36" s="37" t="s">
        <v>1393</v>
      </c>
      <c r="I36" s="37" t="s">
        <v>1469</v>
      </c>
      <c r="J36" s="37" t="s">
        <v>72</v>
      </c>
      <c r="K36" s="38" t="s">
        <v>1470</v>
      </c>
      <c r="L36" s="27"/>
      <c r="M36" s="27"/>
      <c r="N36" s="27"/>
      <c r="O36" s="27"/>
      <c r="P36" s="27"/>
      <c r="Q36" s="27"/>
      <c r="R36" s="27"/>
      <c r="S36" s="27"/>
      <c r="T36" s="27"/>
      <c r="U36" s="27"/>
      <c r="V36" s="27"/>
      <c r="W36" s="27"/>
      <c r="X36" s="27"/>
      <c r="Y36" s="27"/>
      <c r="Z36" s="27"/>
    </row>
    <row r="37" spans="1:26" ht="22.5" customHeight="1">
      <c r="A37" s="28" t="s">
        <v>492</v>
      </c>
      <c r="B37" s="37" t="s">
        <v>1403</v>
      </c>
      <c r="C37" s="37">
        <v>1</v>
      </c>
      <c r="D37" s="37">
        <v>1</v>
      </c>
      <c r="E37" s="38" t="s">
        <v>924</v>
      </c>
      <c r="F37" s="38" t="s">
        <v>932</v>
      </c>
      <c r="G37" s="37" t="s">
        <v>1443</v>
      </c>
      <c r="H37" s="37" t="s">
        <v>1444</v>
      </c>
      <c r="I37" s="37" t="s">
        <v>1471</v>
      </c>
      <c r="J37" s="37" t="s">
        <v>76</v>
      </c>
      <c r="K37" s="38" t="s">
        <v>1472</v>
      </c>
      <c r="L37" s="27"/>
      <c r="M37" s="27"/>
      <c r="N37" s="27"/>
      <c r="O37" s="27"/>
      <c r="P37" s="27"/>
      <c r="Q37" s="27"/>
      <c r="R37" s="27"/>
      <c r="S37" s="27"/>
      <c r="T37" s="27"/>
      <c r="U37" s="27"/>
      <c r="V37" s="27"/>
      <c r="W37" s="27"/>
      <c r="X37" s="27"/>
      <c r="Y37" s="27"/>
      <c r="Z37" s="27"/>
    </row>
    <row r="38" spans="1:26" ht="22.5" customHeight="1">
      <c r="A38" s="28" t="s">
        <v>500</v>
      </c>
      <c r="B38" s="38" t="s">
        <v>1403</v>
      </c>
      <c r="C38" s="37">
        <v>2</v>
      </c>
      <c r="D38" s="37">
        <v>2</v>
      </c>
      <c r="E38" s="38" t="s">
        <v>924</v>
      </c>
      <c r="F38" s="38" t="s">
        <v>932</v>
      </c>
      <c r="G38" s="38" t="s">
        <v>1400</v>
      </c>
      <c r="H38" s="38" t="s">
        <v>888</v>
      </c>
      <c r="I38" s="38" t="s">
        <v>1473</v>
      </c>
      <c r="J38" s="38" t="s">
        <v>937</v>
      </c>
      <c r="K38" s="38" t="s">
        <v>1474</v>
      </c>
      <c r="L38" s="27"/>
      <c r="M38" s="27"/>
      <c r="N38" s="27"/>
      <c r="O38" s="27"/>
      <c r="P38" s="27"/>
      <c r="Q38" s="27"/>
      <c r="R38" s="27"/>
      <c r="S38" s="27"/>
      <c r="T38" s="27"/>
      <c r="U38" s="27"/>
      <c r="V38" s="27"/>
      <c r="W38" s="27"/>
      <c r="X38" s="27"/>
      <c r="Y38" s="27"/>
      <c r="Z38" s="27"/>
    </row>
    <row r="39" spans="1:26" ht="22.5" customHeight="1">
      <c r="A39" s="28" t="s">
        <v>509</v>
      </c>
      <c r="B39" s="38" t="s">
        <v>1391</v>
      </c>
      <c r="C39" s="37">
        <v>1</v>
      </c>
      <c r="D39" s="37">
        <v>1</v>
      </c>
      <c r="E39" s="38" t="s">
        <v>924</v>
      </c>
      <c r="F39" s="38" t="s">
        <v>932</v>
      </c>
      <c r="G39" s="38" t="s">
        <v>1400</v>
      </c>
      <c r="H39" s="38" t="s">
        <v>888</v>
      </c>
      <c r="I39" s="38" t="s">
        <v>1473</v>
      </c>
      <c r="J39" s="38" t="s">
        <v>937</v>
      </c>
      <c r="K39" s="38" t="s">
        <v>1475</v>
      </c>
      <c r="L39" s="27"/>
      <c r="M39" s="27"/>
      <c r="N39" s="27"/>
      <c r="O39" s="27"/>
      <c r="P39" s="27"/>
      <c r="Q39" s="27"/>
      <c r="R39" s="27"/>
      <c r="S39" s="27"/>
      <c r="T39" s="27"/>
      <c r="U39" s="27"/>
      <c r="V39" s="27"/>
      <c r="W39" s="27"/>
      <c r="X39" s="27"/>
      <c r="Y39" s="27"/>
      <c r="Z39" s="27"/>
    </row>
    <row r="40" spans="1:26" ht="22.5" customHeight="1">
      <c r="A40" s="28" t="s">
        <v>516</v>
      </c>
      <c r="B40" s="38" t="s">
        <v>1403</v>
      </c>
      <c r="C40" s="37">
        <v>4</v>
      </c>
      <c r="D40" s="37">
        <v>8</v>
      </c>
      <c r="E40" s="38" t="s">
        <v>924</v>
      </c>
      <c r="F40" s="38" t="s">
        <v>926</v>
      </c>
      <c r="G40" s="38" t="s">
        <v>1392</v>
      </c>
      <c r="H40" s="38" t="s">
        <v>1393</v>
      </c>
      <c r="I40" s="38" t="s">
        <v>1476</v>
      </c>
      <c r="J40" s="38" t="s">
        <v>72</v>
      </c>
      <c r="K40" s="38" t="s">
        <v>1477</v>
      </c>
      <c r="L40" s="27"/>
      <c r="M40" s="27"/>
      <c r="N40" s="27"/>
      <c r="O40" s="27"/>
      <c r="P40" s="27"/>
      <c r="Q40" s="27"/>
      <c r="R40" s="27"/>
      <c r="S40" s="27"/>
      <c r="T40" s="27"/>
      <c r="U40" s="27"/>
      <c r="V40" s="27"/>
      <c r="W40" s="27"/>
      <c r="X40" s="27"/>
      <c r="Y40" s="27"/>
      <c r="Z40" s="27"/>
    </row>
    <row r="41" spans="1:26" ht="22.5" customHeight="1">
      <c r="A41" s="28" t="s">
        <v>1478</v>
      </c>
      <c r="B41" s="38" t="s">
        <v>1391</v>
      </c>
      <c r="C41" s="37">
        <v>1</v>
      </c>
      <c r="D41" s="37">
        <v>2</v>
      </c>
      <c r="E41" s="38" t="s">
        <v>924</v>
      </c>
      <c r="F41" s="38" t="s">
        <v>932</v>
      </c>
      <c r="G41" s="38" t="s">
        <v>1400</v>
      </c>
      <c r="H41" s="38" t="s">
        <v>888</v>
      </c>
      <c r="I41" s="38" t="s">
        <v>1473</v>
      </c>
      <c r="J41" s="38" t="s">
        <v>937</v>
      </c>
      <c r="K41" s="38" t="s">
        <v>1479</v>
      </c>
      <c r="L41" s="27"/>
      <c r="M41" s="27"/>
      <c r="N41" s="27"/>
      <c r="O41" s="27"/>
      <c r="P41" s="27"/>
      <c r="Q41" s="27"/>
      <c r="R41" s="27"/>
      <c r="S41" s="27"/>
      <c r="T41" s="27"/>
      <c r="U41" s="27"/>
      <c r="V41" s="27"/>
      <c r="W41" s="27"/>
      <c r="X41" s="27"/>
      <c r="Y41" s="27"/>
      <c r="Z41" s="27"/>
    </row>
    <row r="42" spans="1:26" ht="22.5" customHeight="1">
      <c r="A42" s="28" t="s">
        <v>1480</v>
      </c>
      <c r="B42" s="38" t="s">
        <v>1391</v>
      </c>
      <c r="C42" s="37">
        <v>1</v>
      </c>
      <c r="D42" s="37">
        <v>1</v>
      </c>
      <c r="E42" s="38" t="s">
        <v>924</v>
      </c>
      <c r="F42" s="38" t="s">
        <v>932</v>
      </c>
      <c r="G42" s="38" t="s">
        <v>1400</v>
      </c>
      <c r="H42" s="38" t="s">
        <v>888</v>
      </c>
      <c r="I42" s="38" t="s">
        <v>1481</v>
      </c>
      <c r="J42" s="38" t="s">
        <v>937</v>
      </c>
      <c r="K42" s="38" t="s">
        <v>1482</v>
      </c>
      <c r="L42" s="27"/>
      <c r="M42" s="27"/>
      <c r="N42" s="27"/>
      <c r="O42" s="27"/>
      <c r="P42" s="27"/>
      <c r="Q42" s="27"/>
      <c r="R42" s="27"/>
      <c r="S42" s="27"/>
      <c r="T42" s="27"/>
      <c r="U42" s="27"/>
      <c r="V42" s="27"/>
      <c r="W42" s="27"/>
      <c r="X42" s="27"/>
      <c r="Y42" s="27"/>
      <c r="Z42" s="27"/>
    </row>
    <row r="43" spans="1:26" ht="22.5" customHeight="1">
      <c r="A43" s="28" t="s">
        <v>542</v>
      </c>
      <c r="B43" s="38" t="s">
        <v>1403</v>
      </c>
      <c r="C43" s="37">
        <v>4</v>
      </c>
      <c r="D43" s="37">
        <v>2</v>
      </c>
      <c r="E43" s="38" t="s">
        <v>924</v>
      </c>
      <c r="F43" s="38" t="s">
        <v>926</v>
      </c>
      <c r="G43" s="38" t="s">
        <v>1392</v>
      </c>
      <c r="H43" s="38" t="s">
        <v>1393</v>
      </c>
      <c r="I43" s="38" t="s">
        <v>1483</v>
      </c>
      <c r="J43" s="38" t="s">
        <v>76</v>
      </c>
      <c r="K43" s="38" t="s">
        <v>1484</v>
      </c>
      <c r="L43" s="27"/>
      <c r="M43" s="27"/>
      <c r="N43" s="27"/>
      <c r="O43" s="27"/>
      <c r="P43" s="27"/>
      <c r="Q43" s="27"/>
      <c r="R43" s="27"/>
      <c r="S43" s="27"/>
      <c r="T43" s="27"/>
      <c r="U43" s="27"/>
      <c r="V43" s="27"/>
      <c r="W43" s="27"/>
      <c r="X43" s="27"/>
      <c r="Y43" s="27"/>
      <c r="Z43" s="27"/>
    </row>
    <row r="44" spans="1:26" ht="22.5" customHeight="1">
      <c r="A44" s="28" t="s">
        <v>551</v>
      </c>
      <c r="B44" s="38" t="s">
        <v>1403</v>
      </c>
      <c r="C44" s="37">
        <v>11</v>
      </c>
      <c r="D44" s="38" t="s">
        <v>1485</v>
      </c>
      <c r="E44" s="38" t="s">
        <v>924</v>
      </c>
      <c r="F44" s="38" t="s">
        <v>926</v>
      </c>
      <c r="G44" s="38" t="s">
        <v>1392</v>
      </c>
      <c r="H44" s="38" t="s">
        <v>1393</v>
      </c>
      <c r="I44" s="38" t="s">
        <v>1486</v>
      </c>
      <c r="J44" s="38" t="s">
        <v>76</v>
      </c>
      <c r="K44" s="38" t="s">
        <v>1487</v>
      </c>
      <c r="L44" s="27"/>
      <c r="M44" s="27"/>
      <c r="N44" s="27"/>
      <c r="O44" s="27"/>
      <c r="P44" s="27"/>
      <c r="Q44" s="27"/>
      <c r="R44" s="27"/>
      <c r="S44" s="27"/>
      <c r="T44" s="27"/>
      <c r="U44" s="27"/>
      <c r="V44" s="27"/>
      <c r="W44" s="27"/>
      <c r="X44" s="27"/>
      <c r="Y44" s="27"/>
      <c r="Z44" s="27"/>
    </row>
    <row r="45" spans="1:26" ht="22.5" customHeight="1">
      <c r="A45" s="28" t="s">
        <v>560</v>
      </c>
      <c r="B45" s="38" t="s">
        <v>1391</v>
      </c>
      <c r="C45" s="37">
        <v>11</v>
      </c>
      <c r="D45" s="38" t="s">
        <v>1485</v>
      </c>
      <c r="E45" s="38" t="s">
        <v>924</v>
      </c>
      <c r="F45" s="38" t="s">
        <v>926</v>
      </c>
      <c r="G45" s="38" t="s">
        <v>1392</v>
      </c>
      <c r="H45" s="38" t="s">
        <v>1393</v>
      </c>
      <c r="I45" s="38" t="s">
        <v>1488</v>
      </c>
      <c r="J45" s="38" t="s">
        <v>76</v>
      </c>
      <c r="K45" s="38" t="s">
        <v>1489</v>
      </c>
      <c r="L45" s="27"/>
      <c r="M45" s="27"/>
      <c r="N45" s="27"/>
      <c r="O45" s="27"/>
      <c r="P45" s="27"/>
      <c r="Q45" s="27"/>
      <c r="R45" s="27"/>
      <c r="S45" s="27"/>
      <c r="T45" s="27"/>
      <c r="U45" s="27"/>
      <c r="V45" s="27"/>
      <c r="W45" s="27"/>
      <c r="X45" s="27"/>
      <c r="Y45" s="27"/>
      <c r="Z45" s="27"/>
    </row>
    <row r="46" spans="1:26" ht="22.5" customHeight="1">
      <c r="A46" s="28" t="s">
        <v>568</v>
      </c>
      <c r="B46" s="38" t="s">
        <v>1403</v>
      </c>
      <c r="C46" s="37">
        <v>1</v>
      </c>
      <c r="D46" s="38">
        <v>1</v>
      </c>
      <c r="E46" s="38" t="s">
        <v>924</v>
      </c>
      <c r="F46" s="38" t="s">
        <v>932</v>
      </c>
      <c r="G46" s="38" t="s">
        <v>1400</v>
      </c>
      <c r="H46" s="38" t="s">
        <v>888</v>
      </c>
      <c r="I46" s="38" t="s">
        <v>1490</v>
      </c>
      <c r="J46" s="38" t="s">
        <v>937</v>
      </c>
      <c r="K46" s="38" t="s">
        <v>1491</v>
      </c>
      <c r="L46" s="27"/>
      <c r="M46" s="27"/>
      <c r="N46" s="27"/>
      <c r="O46" s="27"/>
      <c r="P46" s="27"/>
      <c r="Q46" s="27"/>
      <c r="R46" s="27"/>
      <c r="S46" s="27"/>
      <c r="T46" s="27"/>
      <c r="U46" s="27"/>
      <c r="V46" s="27"/>
      <c r="W46" s="27"/>
      <c r="X46" s="27"/>
      <c r="Y46" s="27"/>
      <c r="Z46" s="27"/>
    </row>
    <row r="47" spans="1:26" ht="22.5" customHeight="1">
      <c r="A47" s="28" t="s">
        <v>579</v>
      </c>
      <c r="B47" s="38" t="s">
        <v>1403</v>
      </c>
      <c r="C47" s="37">
        <v>5</v>
      </c>
      <c r="D47" s="38">
        <v>2</v>
      </c>
      <c r="E47" s="38" t="s">
        <v>924</v>
      </c>
      <c r="F47" s="38" t="s">
        <v>926</v>
      </c>
      <c r="G47" s="38" t="s">
        <v>1443</v>
      </c>
      <c r="H47" s="38" t="s">
        <v>1392</v>
      </c>
      <c r="I47" s="38" t="s">
        <v>1492</v>
      </c>
      <c r="J47" s="38" t="s">
        <v>76</v>
      </c>
      <c r="K47" s="38" t="s">
        <v>1493</v>
      </c>
      <c r="L47" s="27"/>
      <c r="M47" s="27"/>
      <c r="N47" s="27"/>
      <c r="O47" s="27"/>
      <c r="P47" s="27"/>
      <c r="Q47" s="27"/>
      <c r="R47" s="27"/>
      <c r="S47" s="27"/>
      <c r="T47" s="27"/>
      <c r="U47" s="27"/>
      <c r="V47" s="27"/>
      <c r="W47" s="27"/>
      <c r="X47" s="27"/>
      <c r="Y47" s="27"/>
      <c r="Z47" s="27"/>
    </row>
    <row r="48" spans="1:26" ht="22.5" customHeight="1">
      <c r="A48" s="28" t="s">
        <v>585</v>
      </c>
      <c r="B48" s="38" t="s">
        <v>1403</v>
      </c>
      <c r="C48" s="37">
        <v>5</v>
      </c>
      <c r="D48" s="38">
        <v>2</v>
      </c>
      <c r="E48" s="38" t="s">
        <v>924</v>
      </c>
      <c r="F48" s="38" t="s">
        <v>926</v>
      </c>
      <c r="G48" s="38" t="s">
        <v>1443</v>
      </c>
      <c r="H48" s="38" t="s">
        <v>1392</v>
      </c>
      <c r="I48" s="38" t="s">
        <v>1494</v>
      </c>
      <c r="J48" s="38" t="s">
        <v>76</v>
      </c>
      <c r="K48" s="38" t="s">
        <v>1495</v>
      </c>
      <c r="L48" s="27"/>
      <c r="M48" s="27"/>
      <c r="N48" s="27"/>
      <c r="O48" s="27"/>
      <c r="P48" s="27"/>
      <c r="Q48" s="27"/>
      <c r="R48" s="27"/>
      <c r="S48" s="27"/>
      <c r="T48" s="27"/>
      <c r="U48" s="27"/>
      <c r="V48" s="27"/>
      <c r="W48" s="27"/>
      <c r="X48" s="27"/>
      <c r="Y48" s="27"/>
      <c r="Z48" s="27"/>
    </row>
    <row r="49" spans="1:26" ht="22.5" customHeight="1">
      <c r="A49" s="28" t="s">
        <v>591</v>
      </c>
      <c r="B49" s="38" t="s">
        <v>1403</v>
      </c>
      <c r="C49" s="37">
        <v>1</v>
      </c>
      <c r="D49" s="38">
        <v>0</v>
      </c>
      <c r="E49" s="38" t="s">
        <v>1457</v>
      </c>
      <c r="F49" s="38" t="s">
        <v>888</v>
      </c>
      <c r="G49" s="38" t="s">
        <v>1458</v>
      </c>
      <c r="H49" s="38" t="s">
        <v>1458</v>
      </c>
      <c r="I49" s="38" t="s">
        <v>1496</v>
      </c>
      <c r="J49" s="38" t="s">
        <v>76</v>
      </c>
      <c r="K49" s="38" t="s">
        <v>1497</v>
      </c>
      <c r="L49" s="27"/>
      <c r="M49" s="27"/>
      <c r="N49" s="27"/>
      <c r="O49" s="27"/>
      <c r="P49" s="27"/>
      <c r="Q49" s="27"/>
      <c r="R49" s="27"/>
      <c r="S49" s="27"/>
      <c r="T49" s="27"/>
      <c r="U49" s="27"/>
      <c r="V49" s="27"/>
      <c r="W49" s="27"/>
      <c r="X49" s="27"/>
      <c r="Y49" s="27"/>
      <c r="Z49" s="27"/>
    </row>
    <row r="50" spans="1:26" ht="22.5" customHeight="1">
      <c r="A50" s="28" t="s">
        <v>596</v>
      </c>
      <c r="B50" s="38" t="s">
        <v>1403</v>
      </c>
      <c r="C50" s="37">
        <v>1</v>
      </c>
      <c r="D50" s="38">
        <v>0</v>
      </c>
      <c r="E50" s="38" t="s">
        <v>1457</v>
      </c>
      <c r="F50" s="38" t="s">
        <v>888</v>
      </c>
      <c r="G50" s="38" t="s">
        <v>1458</v>
      </c>
      <c r="H50" s="38" t="s">
        <v>1458</v>
      </c>
      <c r="I50" s="38" t="s">
        <v>1498</v>
      </c>
      <c r="J50" s="38" t="s">
        <v>76</v>
      </c>
      <c r="K50" s="38" t="s">
        <v>1499</v>
      </c>
      <c r="L50" s="27"/>
      <c r="M50" s="27"/>
      <c r="N50" s="27"/>
      <c r="O50" s="27"/>
      <c r="P50" s="27"/>
      <c r="Q50" s="27"/>
      <c r="R50" s="27"/>
      <c r="S50" s="27"/>
      <c r="T50" s="27"/>
      <c r="U50" s="27"/>
      <c r="V50" s="27"/>
      <c r="W50" s="27"/>
      <c r="X50" s="27"/>
      <c r="Y50" s="27"/>
      <c r="Z50" s="27"/>
    </row>
    <row r="51" spans="1:26" ht="22.5" customHeight="1">
      <c r="A51" s="28" t="s">
        <v>606</v>
      </c>
      <c r="B51" s="38" t="s">
        <v>1391</v>
      </c>
      <c r="C51" s="37">
        <v>5</v>
      </c>
      <c r="D51" s="38">
        <v>2</v>
      </c>
      <c r="E51" s="38" t="s">
        <v>924</v>
      </c>
      <c r="F51" s="38" t="s">
        <v>926</v>
      </c>
      <c r="G51" s="38" t="s">
        <v>1392</v>
      </c>
      <c r="H51" s="38" t="s">
        <v>1393</v>
      </c>
      <c r="I51" s="38" t="s">
        <v>1500</v>
      </c>
      <c r="J51" s="38" t="s">
        <v>76</v>
      </c>
      <c r="K51" s="38" t="s">
        <v>1501</v>
      </c>
      <c r="L51" s="27"/>
      <c r="M51" s="27"/>
      <c r="N51" s="27"/>
      <c r="O51" s="27"/>
      <c r="P51" s="27"/>
      <c r="Q51" s="27"/>
      <c r="R51" s="27"/>
      <c r="S51" s="27"/>
      <c r="T51" s="27"/>
      <c r="U51" s="27"/>
      <c r="V51" s="27"/>
      <c r="W51" s="27"/>
      <c r="X51" s="27"/>
      <c r="Y51" s="27"/>
      <c r="Z51" s="27"/>
    </row>
    <row r="52" spans="1:26" ht="22.5" customHeight="1">
      <c r="A52" s="28" t="s">
        <v>624</v>
      </c>
      <c r="B52" s="39" t="s">
        <v>1391</v>
      </c>
      <c r="C52" s="37">
        <v>2</v>
      </c>
      <c r="D52" s="39" t="s">
        <v>1502</v>
      </c>
      <c r="E52" s="39" t="s">
        <v>924</v>
      </c>
      <c r="F52" s="39" t="s">
        <v>926</v>
      </c>
      <c r="G52" s="39" t="s">
        <v>1392</v>
      </c>
      <c r="H52" s="39" t="s">
        <v>1393</v>
      </c>
      <c r="I52" s="39" t="s">
        <v>1503</v>
      </c>
      <c r="J52" s="39" t="s">
        <v>76</v>
      </c>
      <c r="K52" s="39" t="s">
        <v>1504</v>
      </c>
      <c r="L52" s="27"/>
      <c r="M52" s="27"/>
      <c r="N52" s="27"/>
      <c r="O52" s="27"/>
      <c r="P52" s="27"/>
      <c r="Q52" s="27"/>
      <c r="R52" s="27"/>
      <c r="S52" s="27"/>
      <c r="T52" s="27"/>
      <c r="U52" s="27"/>
      <c r="V52" s="27"/>
      <c r="W52" s="27"/>
      <c r="X52" s="27"/>
      <c r="Y52" s="27"/>
      <c r="Z52" s="27"/>
    </row>
    <row r="53" spans="1:26" ht="22.5" customHeight="1">
      <c r="A53" s="28" t="s">
        <v>633</v>
      </c>
      <c r="B53" s="39" t="s">
        <v>1391</v>
      </c>
      <c r="C53" s="37">
        <v>5</v>
      </c>
      <c r="D53" s="39" t="s">
        <v>1505</v>
      </c>
      <c r="E53" s="39" t="s">
        <v>924</v>
      </c>
      <c r="F53" s="39" t="s">
        <v>926</v>
      </c>
      <c r="G53" s="39" t="s">
        <v>1392</v>
      </c>
      <c r="H53" s="39" t="s">
        <v>1393</v>
      </c>
      <c r="I53" s="39" t="s">
        <v>1506</v>
      </c>
      <c r="J53" s="39" t="s">
        <v>76</v>
      </c>
      <c r="K53" s="39" t="s">
        <v>1507</v>
      </c>
      <c r="L53" s="27"/>
      <c r="M53" s="27"/>
      <c r="N53" s="27"/>
      <c r="O53" s="27"/>
      <c r="P53" s="27"/>
      <c r="Q53" s="27"/>
      <c r="R53" s="27"/>
      <c r="S53" s="27"/>
      <c r="T53" s="27"/>
      <c r="U53" s="27"/>
      <c r="V53" s="27"/>
      <c r="W53" s="27"/>
      <c r="X53" s="27"/>
      <c r="Y53" s="27"/>
      <c r="Z53" s="27"/>
    </row>
    <row r="54" spans="1:26" ht="22.5" customHeight="1">
      <c r="A54" s="28" t="s">
        <v>633</v>
      </c>
      <c r="B54" s="39" t="s">
        <v>1391</v>
      </c>
      <c r="C54" s="37">
        <v>5</v>
      </c>
      <c r="D54" s="39" t="s">
        <v>1502</v>
      </c>
      <c r="E54" s="39" t="s">
        <v>924</v>
      </c>
      <c r="F54" s="39" t="s">
        <v>926</v>
      </c>
      <c r="G54" s="39" t="s">
        <v>1392</v>
      </c>
      <c r="H54" s="39" t="s">
        <v>1393</v>
      </c>
      <c r="I54" s="39" t="s">
        <v>1508</v>
      </c>
      <c r="J54" s="39" t="s">
        <v>76</v>
      </c>
      <c r="K54" s="39" t="s">
        <v>1509</v>
      </c>
      <c r="L54" s="27"/>
      <c r="M54" s="27"/>
      <c r="N54" s="27"/>
      <c r="O54" s="27"/>
      <c r="P54" s="27"/>
      <c r="Q54" s="27"/>
      <c r="R54" s="27"/>
      <c r="S54" s="27"/>
      <c r="T54" s="27"/>
      <c r="U54" s="27"/>
      <c r="V54" s="27"/>
      <c r="W54" s="27"/>
      <c r="X54" s="27"/>
      <c r="Y54" s="27"/>
      <c r="Z54" s="27"/>
    </row>
    <row r="55" spans="1:26" ht="22.5" customHeight="1">
      <c r="A55" s="28" t="s">
        <v>641</v>
      </c>
      <c r="B55" s="39" t="s">
        <v>1391</v>
      </c>
      <c r="C55" s="37">
        <v>5</v>
      </c>
      <c r="D55" s="39">
        <v>4</v>
      </c>
      <c r="E55" s="39" t="s">
        <v>924</v>
      </c>
      <c r="F55" s="39" t="s">
        <v>926</v>
      </c>
      <c r="G55" s="39" t="s">
        <v>1392</v>
      </c>
      <c r="H55" s="39" t="s">
        <v>1393</v>
      </c>
      <c r="I55" s="39" t="s">
        <v>1510</v>
      </c>
      <c r="J55" s="39" t="s">
        <v>72</v>
      </c>
      <c r="K55" s="39" t="s">
        <v>1511</v>
      </c>
      <c r="L55" s="27"/>
      <c r="M55" s="27"/>
      <c r="N55" s="27"/>
      <c r="O55" s="27"/>
      <c r="P55" s="27"/>
      <c r="Q55" s="27"/>
      <c r="R55" s="27"/>
      <c r="S55" s="27"/>
      <c r="T55" s="27"/>
      <c r="U55" s="27"/>
      <c r="V55" s="27"/>
      <c r="W55" s="27"/>
      <c r="X55" s="27"/>
      <c r="Y55" s="27"/>
      <c r="Z55" s="27"/>
    </row>
    <row r="56" spans="1:26">
      <c r="A56" s="40"/>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spans="1:26">
      <c r="A57" s="40"/>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spans="1:26">
      <c r="A58" s="40"/>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spans="1:26">
      <c r="A59" s="40"/>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spans="1:26">
      <c r="A60" s="40"/>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spans="1:26">
      <c r="A61" s="40"/>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spans="1:26">
      <c r="A62" s="40"/>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spans="1:26">
      <c r="A63" s="40"/>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spans="1:26">
      <c r="A64" s="40"/>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spans="1:26">
      <c r="A65" s="40"/>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spans="1:26">
      <c r="A66" s="40"/>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spans="1:26">
      <c r="A67" s="40"/>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spans="1:26">
      <c r="A68" s="40"/>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spans="1:26">
      <c r="A69" s="40"/>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spans="1:26">
      <c r="A70" s="40"/>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spans="1:26">
      <c r="A71" s="40"/>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spans="1:26">
      <c r="A72" s="40"/>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spans="1:26">
      <c r="A73" s="40"/>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spans="1:26">
      <c r="A74" s="40"/>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c r="A75" s="40"/>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c r="A76" s="40"/>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spans="1:26">
      <c r="A77" s="40"/>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spans="1:26">
      <c r="A78" s="40"/>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spans="1:26">
      <c r="A79" s="40"/>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c r="A80" s="40"/>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c r="A81" s="40"/>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c r="A82" s="40"/>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c r="A83" s="40"/>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c r="A84" s="40"/>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c r="A85" s="40"/>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c r="A86" s="40"/>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c r="A87" s="40"/>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c r="A88" s="40"/>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c r="A89" s="40"/>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c r="A90" s="40"/>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c r="A91" s="40"/>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c r="A92" s="40"/>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c r="A93" s="40"/>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c r="A94" s="40"/>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c r="A95" s="40"/>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c r="A96" s="40"/>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c r="A97" s="40"/>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c r="A98" s="40"/>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c r="A99" s="40"/>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sheetData>
  <dataValidations count="1">
    <dataValidation type="list" allowBlank="1" sqref="B2:B55" xr:uid="{00000000-0002-0000-0800-000000000000}">
      <formula1>"PRIMITIVE,DERIVED"</formula1>
    </dataValidation>
  </dataValidations>
  <pageMargins left="0" right="0" top="0" bottom="0" header="0" footer="0"/>
  <legacy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52"/>
  <sheetViews>
    <sheetView workbookViewId="0"/>
  </sheetViews>
  <sheetFormatPr defaultColWidth="12.5703125" defaultRowHeight="15.75" customHeight="1"/>
  <sheetData>
    <row r="1" spans="1:15">
      <c r="A1" s="22" t="s">
        <v>1512</v>
      </c>
    </row>
    <row r="2" spans="1:15">
      <c r="A2" s="22"/>
      <c r="E2" s="22" t="s">
        <v>1513</v>
      </c>
      <c r="M2" s="22" t="s">
        <v>1514</v>
      </c>
      <c r="O2" s="22" t="s">
        <v>1515</v>
      </c>
    </row>
    <row r="3" spans="1:15">
      <c r="A3" s="41">
        <v>47362</v>
      </c>
      <c r="B3" s="41">
        <v>47392</v>
      </c>
      <c r="C3" s="41">
        <v>47423</v>
      </c>
      <c r="D3" s="41">
        <v>47453</v>
      </c>
      <c r="O3" s="17">
        <f>AVERAGE(M:M)</f>
        <v>1952873.9411764706</v>
      </c>
    </row>
    <row r="4" spans="1:15">
      <c r="A4" s="42">
        <v>3901</v>
      </c>
      <c r="B4" s="42">
        <v>21508</v>
      </c>
      <c r="C4" s="42">
        <v>231674</v>
      </c>
      <c r="D4" s="42">
        <v>269561</v>
      </c>
      <c r="M4" s="43">
        <f>SUM(A4:D4)</f>
        <v>526644</v>
      </c>
    </row>
    <row r="6" spans="1:15">
      <c r="A6" s="41">
        <v>10959</v>
      </c>
      <c r="B6" s="41">
        <v>10990</v>
      </c>
      <c r="C6" s="41">
        <v>11018</v>
      </c>
      <c r="D6" s="41">
        <v>11049</v>
      </c>
      <c r="E6" s="44">
        <v>11079</v>
      </c>
      <c r="F6" s="41">
        <v>11110</v>
      </c>
      <c r="G6" s="41">
        <v>11140</v>
      </c>
      <c r="H6" s="41">
        <v>11171</v>
      </c>
      <c r="I6" s="41">
        <v>11202</v>
      </c>
      <c r="J6" s="41">
        <v>11232</v>
      </c>
      <c r="K6" s="41">
        <v>11263</v>
      </c>
      <c r="L6" s="41">
        <v>11293</v>
      </c>
    </row>
    <row r="7" spans="1:15">
      <c r="A7" s="42">
        <v>355530</v>
      </c>
      <c r="B7" s="42">
        <v>333134</v>
      </c>
      <c r="C7" s="42">
        <v>368827</v>
      </c>
      <c r="D7" s="42">
        <v>356930</v>
      </c>
      <c r="E7" s="42">
        <v>368827</v>
      </c>
      <c r="F7" s="42">
        <v>356930</v>
      </c>
      <c r="G7" s="42">
        <v>408146</v>
      </c>
      <c r="H7" s="42">
        <v>414931</v>
      </c>
      <c r="I7" s="42">
        <v>401546</v>
      </c>
      <c r="J7" s="42">
        <v>414931</v>
      </c>
      <c r="K7" s="42">
        <v>401546</v>
      </c>
      <c r="L7" s="42">
        <v>414931</v>
      </c>
      <c r="M7" s="43">
        <f>SUM(A7:D7)</f>
        <v>1414421</v>
      </c>
    </row>
    <row r="9" spans="1:15">
      <c r="A9" s="41">
        <v>11324</v>
      </c>
      <c r="B9" s="41">
        <v>11355</v>
      </c>
      <c r="C9" s="41">
        <v>11383</v>
      </c>
      <c r="D9" s="41">
        <v>11414</v>
      </c>
      <c r="E9" s="44">
        <v>11444</v>
      </c>
      <c r="F9" s="41">
        <v>11475</v>
      </c>
      <c r="G9" s="41">
        <v>11505</v>
      </c>
      <c r="H9" s="41">
        <v>11536</v>
      </c>
      <c r="I9" s="41">
        <v>11567</v>
      </c>
      <c r="J9" s="41">
        <v>11597</v>
      </c>
      <c r="K9" s="41">
        <v>11628</v>
      </c>
      <c r="L9" s="41">
        <v>11658</v>
      </c>
    </row>
    <row r="10" spans="1:15">
      <c r="A10" s="42">
        <v>443052</v>
      </c>
      <c r="B10" s="42">
        <v>403299</v>
      </c>
      <c r="C10" s="42">
        <v>446510</v>
      </c>
      <c r="D10" s="42">
        <v>432106</v>
      </c>
      <c r="E10" s="42">
        <v>446510</v>
      </c>
      <c r="F10" s="42">
        <v>432106</v>
      </c>
      <c r="G10" s="42">
        <v>466552</v>
      </c>
      <c r="H10" s="42">
        <v>470010</v>
      </c>
      <c r="I10" s="42">
        <v>454849</v>
      </c>
      <c r="J10" s="42">
        <v>363879</v>
      </c>
      <c r="K10" s="42">
        <v>454849</v>
      </c>
      <c r="L10" s="42">
        <v>470010</v>
      </c>
      <c r="M10" s="43">
        <f>SUM(A10:D10)</f>
        <v>1724967</v>
      </c>
    </row>
    <row r="12" spans="1:15">
      <c r="A12" s="41">
        <v>11689</v>
      </c>
      <c r="B12" s="41">
        <v>11720</v>
      </c>
      <c r="C12" s="41">
        <v>11749</v>
      </c>
      <c r="D12" s="41">
        <v>11780</v>
      </c>
      <c r="E12" s="44">
        <v>11810</v>
      </c>
      <c r="F12" s="41">
        <v>11841</v>
      </c>
      <c r="G12" s="41">
        <v>11871</v>
      </c>
      <c r="H12" s="41">
        <v>11902</v>
      </c>
      <c r="I12" s="41">
        <v>11933</v>
      </c>
      <c r="J12" s="41">
        <v>11963</v>
      </c>
      <c r="K12" s="41">
        <v>11994</v>
      </c>
      <c r="L12" s="41">
        <v>12024</v>
      </c>
    </row>
    <row r="13" spans="1:15">
      <c r="A13" s="42">
        <v>478030</v>
      </c>
      <c r="B13" s="42">
        <v>447010</v>
      </c>
      <c r="C13" s="42">
        <v>477838</v>
      </c>
      <c r="D13" s="42">
        <v>462424</v>
      </c>
      <c r="E13" s="42">
        <v>477838</v>
      </c>
      <c r="F13" s="42">
        <v>462424</v>
      </c>
      <c r="G13" s="42">
        <v>477838</v>
      </c>
      <c r="H13" s="42">
        <v>477838</v>
      </c>
      <c r="I13" s="42">
        <v>462424</v>
      </c>
      <c r="J13" s="42">
        <v>369939</v>
      </c>
      <c r="K13" s="42">
        <v>462424</v>
      </c>
      <c r="L13" s="42">
        <v>477838</v>
      </c>
      <c r="M13" s="43">
        <f>SUM(A13:D13)</f>
        <v>1865302</v>
      </c>
    </row>
    <row r="15" spans="1:15">
      <c r="A15" s="41">
        <v>12055</v>
      </c>
      <c r="B15" s="41">
        <v>12086</v>
      </c>
      <c r="C15" s="41">
        <v>12114</v>
      </c>
      <c r="D15" s="41">
        <v>12145</v>
      </c>
      <c r="E15" s="44">
        <v>12175</v>
      </c>
      <c r="F15" s="41">
        <v>12206</v>
      </c>
      <c r="G15" s="41">
        <v>12236</v>
      </c>
      <c r="H15" s="41">
        <v>12267</v>
      </c>
      <c r="I15" s="41">
        <v>12298</v>
      </c>
      <c r="J15" s="41">
        <v>12328</v>
      </c>
      <c r="K15" s="41">
        <v>12359</v>
      </c>
      <c r="L15" s="41">
        <v>12389</v>
      </c>
    </row>
    <row r="16" spans="1:15">
      <c r="A16" s="42">
        <v>488282</v>
      </c>
      <c r="B16" s="42">
        <v>441207</v>
      </c>
      <c r="C16" s="42">
        <v>488479</v>
      </c>
      <c r="D16" s="42">
        <v>472721</v>
      </c>
      <c r="E16" s="42">
        <v>488479</v>
      </c>
      <c r="F16" s="42">
        <v>472721</v>
      </c>
      <c r="G16" s="42">
        <v>488479</v>
      </c>
      <c r="H16" s="42">
        <v>488479</v>
      </c>
      <c r="I16" s="42">
        <v>472721</v>
      </c>
      <c r="J16" s="42">
        <v>378177</v>
      </c>
      <c r="K16" s="42">
        <v>472721</v>
      </c>
      <c r="L16" s="42">
        <v>488479</v>
      </c>
      <c r="M16" s="43">
        <f>SUM(A16:D16)</f>
        <v>1890689</v>
      </c>
    </row>
    <row r="18" spans="1:13">
      <c r="A18" s="41">
        <v>12420</v>
      </c>
      <c r="B18" s="41">
        <v>12451</v>
      </c>
      <c r="C18" s="41">
        <v>12479</v>
      </c>
      <c r="D18" s="41">
        <v>12510</v>
      </c>
      <c r="E18" s="44">
        <v>12540</v>
      </c>
      <c r="F18" s="41">
        <v>12571</v>
      </c>
      <c r="G18" s="41">
        <v>12601</v>
      </c>
      <c r="H18" s="41">
        <v>12632</v>
      </c>
      <c r="I18" s="41">
        <v>12663</v>
      </c>
      <c r="J18" s="41">
        <v>12693</v>
      </c>
      <c r="K18" s="41">
        <v>12724</v>
      </c>
      <c r="L18" s="41">
        <v>12754</v>
      </c>
    </row>
    <row r="19" spans="1:13">
      <c r="A19" s="42">
        <v>497994</v>
      </c>
      <c r="B19" s="42">
        <v>449801</v>
      </c>
      <c r="C19" s="42">
        <v>497994</v>
      </c>
      <c r="D19" s="42">
        <v>481929</v>
      </c>
      <c r="E19" s="42">
        <v>497994</v>
      </c>
      <c r="F19" s="42">
        <v>481929</v>
      </c>
      <c r="G19" s="42">
        <v>497994</v>
      </c>
      <c r="H19" s="42">
        <v>497994</v>
      </c>
      <c r="I19" s="42">
        <v>481929</v>
      </c>
      <c r="J19" s="45" t="s">
        <v>1516</v>
      </c>
      <c r="K19" s="42">
        <v>337350</v>
      </c>
      <c r="L19" s="42">
        <v>497994</v>
      </c>
      <c r="M19" s="43">
        <f>SUM(A19:D19)</f>
        <v>1927718</v>
      </c>
    </row>
    <row r="21" spans="1:13">
      <c r="A21" s="41">
        <v>12785</v>
      </c>
      <c r="B21" s="41">
        <v>12816</v>
      </c>
      <c r="C21" s="41">
        <v>12844</v>
      </c>
      <c r="D21" s="41">
        <v>12875</v>
      </c>
      <c r="E21" s="44">
        <v>12905</v>
      </c>
      <c r="F21" s="41">
        <v>12936</v>
      </c>
      <c r="G21" s="41">
        <v>12966</v>
      </c>
      <c r="H21" s="41">
        <v>12997</v>
      </c>
      <c r="I21" s="41">
        <v>13028</v>
      </c>
      <c r="J21" s="41">
        <v>13058</v>
      </c>
      <c r="K21" s="41">
        <v>13089</v>
      </c>
      <c r="L21" s="41">
        <v>13119</v>
      </c>
    </row>
    <row r="22" spans="1:13">
      <c r="A22" s="42">
        <v>507623</v>
      </c>
      <c r="B22" s="42">
        <v>458498</v>
      </c>
      <c r="C22" s="42">
        <v>507623</v>
      </c>
      <c r="D22" s="42">
        <v>491248</v>
      </c>
      <c r="E22" s="42">
        <v>507623</v>
      </c>
      <c r="F22" s="42">
        <v>491248</v>
      </c>
      <c r="G22" s="42">
        <v>507623</v>
      </c>
      <c r="H22" s="42">
        <v>507623</v>
      </c>
      <c r="I22" s="42">
        <v>491248</v>
      </c>
      <c r="J22" s="42">
        <v>392998</v>
      </c>
      <c r="K22" s="42">
        <v>491248</v>
      </c>
      <c r="L22" s="42">
        <v>507623</v>
      </c>
      <c r="M22" s="43">
        <f>SUM(A22:D22)</f>
        <v>1964992</v>
      </c>
    </row>
    <row r="24" spans="1:13">
      <c r="A24" s="41">
        <v>13150</v>
      </c>
      <c r="B24" s="41">
        <v>13181</v>
      </c>
      <c r="C24" s="41">
        <v>13210</v>
      </c>
      <c r="D24" s="41">
        <v>13241</v>
      </c>
      <c r="E24" s="44">
        <v>13271</v>
      </c>
      <c r="F24" s="41">
        <v>13302</v>
      </c>
      <c r="G24" s="41">
        <v>13332</v>
      </c>
      <c r="H24" s="41">
        <v>13363</v>
      </c>
      <c r="I24" s="41">
        <v>13394</v>
      </c>
      <c r="J24" s="41">
        <v>13424</v>
      </c>
      <c r="K24" s="41">
        <v>13455</v>
      </c>
      <c r="L24" s="41">
        <v>13485</v>
      </c>
    </row>
    <row r="25" spans="1:13">
      <c r="A25" s="42">
        <v>516215</v>
      </c>
      <c r="B25" s="42">
        <v>482716</v>
      </c>
      <c r="C25" s="42">
        <v>516007</v>
      </c>
      <c r="D25" s="42">
        <v>499361</v>
      </c>
      <c r="E25" s="42">
        <v>516007</v>
      </c>
      <c r="F25" s="42">
        <v>499361</v>
      </c>
      <c r="G25" s="42">
        <v>516007</v>
      </c>
      <c r="H25" s="42">
        <v>516007</v>
      </c>
      <c r="I25" s="42">
        <v>499361</v>
      </c>
      <c r="J25" s="42">
        <v>399489</v>
      </c>
      <c r="K25" s="42">
        <v>499361</v>
      </c>
      <c r="L25" s="42">
        <v>516007</v>
      </c>
      <c r="M25" s="43">
        <f>SUM(A25:D25)</f>
        <v>2014299</v>
      </c>
    </row>
    <row r="27" spans="1:13">
      <c r="A27" s="41">
        <v>13516</v>
      </c>
      <c r="B27" s="41">
        <v>13547</v>
      </c>
      <c r="C27" s="41">
        <v>13575</v>
      </c>
      <c r="D27" s="41">
        <v>13606</v>
      </c>
      <c r="E27" s="44">
        <v>13636</v>
      </c>
      <c r="F27" s="41">
        <v>13667</v>
      </c>
      <c r="G27" s="41">
        <v>13697</v>
      </c>
      <c r="H27" s="41">
        <v>13728</v>
      </c>
      <c r="I27" s="41">
        <v>13759</v>
      </c>
      <c r="J27" s="41">
        <v>13789</v>
      </c>
      <c r="K27" s="41">
        <v>13820</v>
      </c>
      <c r="L27" s="41">
        <v>13850</v>
      </c>
    </row>
    <row r="28" spans="1:13">
      <c r="A28" s="42">
        <v>527198</v>
      </c>
      <c r="B28" s="42">
        <v>476370</v>
      </c>
      <c r="C28" s="42">
        <v>527410</v>
      </c>
      <c r="D28" s="42">
        <v>510397</v>
      </c>
      <c r="E28" s="42">
        <v>527410</v>
      </c>
      <c r="F28" s="42">
        <v>510397</v>
      </c>
      <c r="G28" s="42">
        <v>527410</v>
      </c>
      <c r="H28" s="42">
        <v>527410</v>
      </c>
      <c r="I28" s="42">
        <v>510397</v>
      </c>
      <c r="J28" s="42">
        <v>408317</v>
      </c>
      <c r="K28" s="42">
        <v>510397</v>
      </c>
      <c r="L28" s="42">
        <v>527410</v>
      </c>
      <c r="M28" s="43">
        <f>SUM(A28:D28)</f>
        <v>2041375</v>
      </c>
    </row>
    <row r="30" spans="1:13">
      <c r="A30" s="41">
        <v>13881</v>
      </c>
      <c r="B30" s="41">
        <v>13912</v>
      </c>
      <c r="C30" s="41">
        <v>13940</v>
      </c>
      <c r="D30" s="41">
        <v>13971</v>
      </c>
      <c r="E30" s="44">
        <v>14001</v>
      </c>
      <c r="F30" s="41">
        <v>14032</v>
      </c>
      <c r="G30" s="41">
        <v>14062</v>
      </c>
      <c r="H30" s="41">
        <v>14093</v>
      </c>
      <c r="I30" s="41">
        <v>14124</v>
      </c>
      <c r="J30" s="41">
        <v>14154</v>
      </c>
      <c r="K30" s="41">
        <v>14185</v>
      </c>
      <c r="L30" s="41">
        <v>14215</v>
      </c>
    </row>
    <row r="31" spans="1:13">
      <c r="A31" s="42">
        <v>537595</v>
      </c>
      <c r="B31" s="42">
        <v>485570</v>
      </c>
      <c r="C31" s="42">
        <v>537595</v>
      </c>
      <c r="D31" s="42">
        <v>520253</v>
      </c>
      <c r="E31" s="42">
        <v>537595</v>
      </c>
      <c r="F31" s="42">
        <v>520253</v>
      </c>
      <c r="G31" s="42">
        <v>537595</v>
      </c>
      <c r="H31" s="42">
        <v>537595</v>
      </c>
      <c r="I31" s="42">
        <v>520253</v>
      </c>
      <c r="J31" s="42">
        <v>416203</v>
      </c>
      <c r="K31" s="42">
        <v>520253</v>
      </c>
      <c r="L31" s="42">
        <v>537595</v>
      </c>
      <c r="M31" s="43">
        <f>SUM(A31:D31)</f>
        <v>2081013</v>
      </c>
    </row>
    <row r="33" spans="1:13">
      <c r="A33" s="41">
        <v>14246</v>
      </c>
      <c r="B33" s="41">
        <v>14277</v>
      </c>
      <c r="C33" s="41">
        <v>14305</v>
      </c>
      <c r="D33" s="41">
        <v>14336</v>
      </c>
      <c r="E33" s="44">
        <v>14366</v>
      </c>
      <c r="F33" s="41">
        <v>14397</v>
      </c>
      <c r="G33" s="41">
        <v>14427</v>
      </c>
      <c r="H33" s="41">
        <v>14458</v>
      </c>
      <c r="I33" s="41">
        <v>14489</v>
      </c>
      <c r="J33" s="41">
        <v>14519</v>
      </c>
      <c r="K33" s="41">
        <v>14550</v>
      </c>
      <c r="L33" s="41">
        <v>14580</v>
      </c>
    </row>
    <row r="34" spans="1:13">
      <c r="A34" s="42">
        <v>547958</v>
      </c>
      <c r="B34" s="42">
        <v>494930</v>
      </c>
      <c r="C34" s="42">
        <v>547958</v>
      </c>
      <c r="D34" s="42">
        <v>530282</v>
      </c>
      <c r="E34" s="42">
        <v>547958</v>
      </c>
      <c r="F34" s="42">
        <v>530282</v>
      </c>
      <c r="G34" s="42">
        <v>547958</v>
      </c>
      <c r="H34" s="42">
        <v>547958</v>
      </c>
      <c r="I34" s="42">
        <v>530282</v>
      </c>
      <c r="J34" s="45" t="s">
        <v>1516</v>
      </c>
      <c r="K34" s="42">
        <v>371198</v>
      </c>
      <c r="L34" s="42">
        <v>547958</v>
      </c>
      <c r="M34" s="43">
        <f>SUM(A34:D34)</f>
        <v>2121128</v>
      </c>
    </row>
    <row r="36" spans="1:13">
      <c r="A36" s="41">
        <v>14611</v>
      </c>
      <c r="B36" s="41">
        <v>14642</v>
      </c>
      <c r="C36" s="41">
        <v>14671</v>
      </c>
      <c r="D36" s="41">
        <v>14702</v>
      </c>
      <c r="E36" s="44">
        <v>14732</v>
      </c>
      <c r="F36" s="41">
        <v>14763</v>
      </c>
      <c r="G36" s="41">
        <v>14793</v>
      </c>
      <c r="H36" s="41">
        <v>14824</v>
      </c>
      <c r="I36" s="41">
        <v>14855</v>
      </c>
      <c r="J36" s="41">
        <v>14885</v>
      </c>
      <c r="K36" s="41">
        <v>14916</v>
      </c>
      <c r="L36" s="41">
        <v>14946</v>
      </c>
    </row>
    <row r="37" spans="1:13">
      <c r="A37" s="42">
        <v>557076</v>
      </c>
      <c r="B37" s="42">
        <v>520925</v>
      </c>
      <c r="C37" s="42">
        <v>556851</v>
      </c>
      <c r="D37" s="42">
        <v>538888</v>
      </c>
      <c r="E37" s="42">
        <v>556851</v>
      </c>
      <c r="F37" s="42">
        <v>538888</v>
      </c>
      <c r="G37" s="42">
        <v>556851</v>
      </c>
      <c r="H37" s="42">
        <v>556851</v>
      </c>
      <c r="I37" s="42">
        <v>538888</v>
      </c>
      <c r="J37" s="42">
        <v>431110</v>
      </c>
      <c r="K37" s="42">
        <v>538888</v>
      </c>
      <c r="L37" s="42">
        <v>556851</v>
      </c>
      <c r="M37" s="43">
        <f>SUM(A37:D37)</f>
        <v>2173740</v>
      </c>
    </row>
    <row r="39" spans="1:13">
      <c r="A39" s="41">
        <v>14977</v>
      </c>
      <c r="B39" s="41">
        <v>15008</v>
      </c>
      <c r="C39" s="41">
        <v>15036</v>
      </c>
      <c r="D39" s="41">
        <v>15067</v>
      </c>
      <c r="E39" s="44">
        <v>15097</v>
      </c>
      <c r="F39" s="41">
        <v>15128</v>
      </c>
      <c r="G39" s="41">
        <v>15158</v>
      </c>
      <c r="H39" s="41">
        <v>15189</v>
      </c>
      <c r="I39" s="41">
        <v>15220</v>
      </c>
      <c r="J39" s="41">
        <v>15250</v>
      </c>
      <c r="K39" s="41">
        <v>15281</v>
      </c>
      <c r="L39" s="41">
        <v>15311</v>
      </c>
    </row>
    <row r="40" spans="1:13">
      <c r="A40" s="42">
        <v>568770</v>
      </c>
      <c r="B40" s="42">
        <v>513935</v>
      </c>
      <c r="C40" s="42">
        <v>569000</v>
      </c>
      <c r="D40" s="42">
        <v>550645</v>
      </c>
      <c r="E40" s="42">
        <v>569000</v>
      </c>
      <c r="F40" s="42">
        <v>550645</v>
      </c>
      <c r="G40" s="42">
        <v>569000</v>
      </c>
      <c r="H40" s="42">
        <v>569000</v>
      </c>
      <c r="I40" s="42">
        <v>550645</v>
      </c>
      <c r="J40" s="42">
        <v>440516</v>
      </c>
      <c r="K40" s="42">
        <v>550645</v>
      </c>
      <c r="L40" s="42">
        <v>569000</v>
      </c>
      <c r="M40" s="43">
        <f>SUM(A40:D40)</f>
        <v>2202350</v>
      </c>
    </row>
    <row r="42" spans="1:13">
      <c r="A42" s="41">
        <v>15342</v>
      </c>
      <c r="B42" s="41">
        <v>15373</v>
      </c>
      <c r="C42" s="41">
        <v>15401</v>
      </c>
      <c r="D42" s="41">
        <v>15432</v>
      </c>
      <c r="E42" s="44">
        <v>15462</v>
      </c>
      <c r="F42" s="41">
        <v>15493</v>
      </c>
      <c r="G42" s="41">
        <v>15523</v>
      </c>
      <c r="H42" s="41">
        <v>15554</v>
      </c>
      <c r="I42" s="41">
        <v>15585</v>
      </c>
      <c r="J42" s="41">
        <v>15615</v>
      </c>
      <c r="K42" s="41">
        <v>15646</v>
      </c>
      <c r="L42" s="41">
        <v>15676</v>
      </c>
    </row>
    <row r="43" spans="1:13">
      <c r="A43" s="42">
        <v>579832</v>
      </c>
      <c r="B43" s="42">
        <v>523719</v>
      </c>
      <c r="C43" s="42">
        <v>579832</v>
      </c>
      <c r="D43" s="42">
        <v>561127</v>
      </c>
      <c r="E43" s="42">
        <v>579832</v>
      </c>
      <c r="F43" s="42">
        <v>561127</v>
      </c>
      <c r="G43" s="42">
        <v>579832</v>
      </c>
      <c r="H43" s="42">
        <v>579832</v>
      </c>
      <c r="I43" s="42">
        <v>561127</v>
      </c>
      <c r="J43" s="42">
        <v>448902</v>
      </c>
      <c r="K43" s="42">
        <v>561127</v>
      </c>
      <c r="L43" s="42">
        <v>579832</v>
      </c>
      <c r="M43" s="43">
        <f>SUM(A43:D43)</f>
        <v>2244510</v>
      </c>
    </row>
    <row r="45" spans="1:13">
      <c r="A45" s="41">
        <v>15707</v>
      </c>
      <c r="B45" s="41">
        <v>15738</v>
      </c>
      <c r="C45" s="41">
        <v>15766</v>
      </c>
      <c r="D45" s="41">
        <v>15797</v>
      </c>
      <c r="E45" s="44">
        <v>15827</v>
      </c>
      <c r="F45" s="41">
        <v>15858</v>
      </c>
      <c r="G45" s="41">
        <v>15888</v>
      </c>
      <c r="H45" s="41">
        <v>15919</v>
      </c>
      <c r="I45" s="41">
        <v>15950</v>
      </c>
      <c r="J45" s="41">
        <v>15980</v>
      </c>
      <c r="K45" s="41">
        <v>16011</v>
      </c>
      <c r="L45" s="41">
        <v>16041</v>
      </c>
    </row>
    <row r="46" spans="1:13">
      <c r="A46" s="42">
        <v>590876</v>
      </c>
      <c r="B46" s="42">
        <v>533695</v>
      </c>
      <c r="C46" s="42">
        <v>590876</v>
      </c>
      <c r="D46" s="42">
        <v>571816</v>
      </c>
      <c r="E46" s="42">
        <v>590876</v>
      </c>
      <c r="F46" s="42">
        <v>571816</v>
      </c>
      <c r="G46" s="42">
        <v>590876</v>
      </c>
      <c r="H46" s="42">
        <v>590876</v>
      </c>
      <c r="I46" s="42">
        <v>571816</v>
      </c>
      <c r="J46" s="42">
        <v>457453</v>
      </c>
      <c r="K46" s="42">
        <v>571816</v>
      </c>
      <c r="L46" s="42">
        <v>590876</v>
      </c>
      <c r="M46" s="43">
        <f>SUM(A46:D46)</f>
        <v>2287263</v>
      </c>
    </row>
    <row r="48" spans="1:13">
      <c r="A48" s="41">
        <v>16072</v>
      </c>
      <c r="B48" s="41">
        <v>16103</v>
      </c>
      <c r="C48" s="41">
        <v>16132</v>
      </c>
      <c r="D48" s="41">
        <v>16163</v>
      </c>
      <c r="E48" s="44">
        <v>16193</v>
      </c>
      <c r="F48" s="41">
        <v>16224</v>
      </c>
      <c r="G48" s="41">
        <v>16254</v>
      </c>
      <c r="H48" s="41">
        <v>16285</v>
      </c>
      <c r="I48" s="41">
        <v>16316</v>
      </c>
      <c r="J48" s="41">
        <v>16346</v>
      </c>
      <c r="K48" s="41">
        <v>16377</v>
      </c>
      <c r="L48" s="41">
        <v>16407</v>
      </c>
    </row>
    <row r="49" spans="1:13">
      <c r="A49" s="42">
        <v>600736</v>
      </c>
      <c r="B49" s="42">
        <v>561751</v>
      </c>
      <c r="C49" s="42">
        <v>600493</v>
      </c>
      <c r="D49" s="42">
        <v>581122</v>
      </c>
      <c r="E49" s="42">
        <v>600493</v>
      </c>
      <c r="F49" s="42">
        <v>581122</v>
      </c>
      <c r="G49" s="42">
        <v>600493</v>
      </c>
      <c r="H49" s="42">
        <v>600493</v>
      </c>
      <c r="I49" s="42">
        <v>581122</v>
      </c>
      <c r="J49" s="45" t="s">
        <v>1516</v>
      </c>
      <c r="K49" s="42">
        <v>406785</v>
      </c>
      <c r="L49" s="42">
        <v>600493</v>
      </c>
      <c r="M49" s="43">
        <f>SUM(A49:D49)</f>
        <v>2344102</v>
      </c>
    </row>
    <row r="51" spans="1:13">
      <c r="A51" s="41">
        <v>16438</v>
      </c>
      <c r="B51" s="41">
        <v>16469</v>
      </c>
      <c r="C51" s="41">
        <v>16497</v>
      </c>
      <c r="D51" s="41">
        <v>16528</v>
      </c>
      <c r="E51" s="44">
        <v>16558</v>
      </c>
      <c r="F51" s="41">
        <v>16589</v>
      </c>
      <c r="G51" s="41">
        <v>16619</v>
      </c>
      <c r="H51" s="41">
        <v>16650</v>
      </c>
      <c r="I51" s="41">
        <v>16681</v>
      </c>
      <c r="J51" s="41">
        <v>16711</v>
      </c>
      <c r="K51" s="41">
        <v>16742</v>
      </c>
      <c r="L51" s="41">
        <v>16772</v>
      </c>
    </row>
    <row r="52" spans="1:13">
      <c r="A52" s="42">
        <v>613189</v>
      </c>
      <c r="B52" s="42">
        <v>554071</v>
      </c>
      <c r="C52" s="42">
        <v>613436</v>
      </c>
      <c r="D52" s="42">
        <v>593648</v>
      </c>
      <c r="E52" s="42">
        <v>613436</v>
      </c>
      <c r="F52" s="42">
        <v>593648</v>
      </c>
      <c r="G52" s="42">
        <v>613436</v>
      </c>
      <c r="H52" s="42">
        <v>613436</v>
      </c>
      <c r="I52" s="42">
        <v>593648</v>
      </c>
      <c r="J52" s="42">
        <v>474918</v>
      </c>
      <c r="K52" s="42">
        <v>593648</v>
      </c>
      <c r="L52" s="42">
        <v>613436</v>
      </c>
      <c r="M52" s="43">
        <f>SUM(A52:D52)</f>
        <v>2374344</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2026-03-19T06:09:54Z</dcterms:created>
  <dcterms:modified xsi:type="dcterms:W3CDTF">2026-03-19T06:09:54Z</dcterms:modified>
  <cp:category/>
  <cp:contentStatus/>
</cp:coreProperties>
</file>